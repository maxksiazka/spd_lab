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<sst xmlns="http://schemas.openxmlformats.org/spreadsheetml/2006/main" count="144" uniqueCount="144">
  <si>
    <t>Task</t>
  </si>
  <si>
    <t>NEH_Lmax</t>
  </si>
  <si>
    <t>NEH_time</t>
  </si>
  <si>
    <t>FNEH_Lmax</t>
  </si>
  <si>
    <t>FNEH_time</t>
  </si>
  <si>
    <t>UB</t>
  </si>
  <si>
    <t>taillard_instances/tail_001.dat</t>
  </si>
  <si>
    <t>taillard_instances/tail_011.dat</t>
  </si>
  <si>
    <t>taillard_instances/tail_021.dat</t>
  </si>
  <si>
    <t>taillard_instances/tail_031.dat</t>
  </si>
  <si>
    <t>taillard_instances/tail_041.dat</t>
  </si>
  <si>
    <t>taillard_instances/tail_051.dat</t>
  </si>
  <si>
    <t>taillard_instances/tail_061.dat</t>
  </si>
  <si>
    <t>taillard_instances/tail_071.dat</t>
  </si>
  <si>
    <t>taillard_instances/tail_081.dat</t>
  </si>
  <si>
    <t>taillard_instances/tail_091.dat</t>
  </si>
  <si>
    <t>taillard_instances/tail_101.dat</t>
  </si>
  <si>
    <t>taillard_instances/tail_111.dat</t>
  </si>
  <si>
    <t>taillard_instances/tail_002.dat</t>
  </si>
  <si>
    <t>taillard_instances/tail_012.dat</t>
  </si>
  <si>
    <t>taillard_instances/tail_022.dat</t>
  </si>
  <si>
    <t>taillard_instances/tail_032.dat</t>
  </si>
  <si>
    <t>taillard_instances/tail_042.dat</t>
  </si>
  <si>
    <t>taillard_instances/tail_052.dat</t>
  </si>
  <si>
    <t>taillard_instances/tail_062.dat</t>
  </si>
  <si>
    <t>taillard_instances/tail_072.dat</t>
  </si>
  <si>
    <t>taillard_instances/tail_082.dat</t>
  </si>
  <si>
    <t>taillard_instances/tail_092.dat</t>
  </si>
  <si>
    <t>taillard_instances/tail_102.dat</t>
  </si>
  <si>
    <t>taillard_instances/tail_112.dat</t>
  </si>
  <si>
    <t>taillard_instances/tail_003.dat</t>
  </si>
  <si>
    <t>taillard_instances/tail_013.dat</t>
  </si>
  <si>
    <t>taillard_instances/tail_023.dat</t>
  </si>
  <si>
    <t>taillard_instances/tail_033.dat</t>
  </si>
  <si>
    <t>taillard_instances/tail_043.dat</t>
  </si>
  <si>
    <t>taillard_instances/tail_053.dat</t>
  </si>
  <si>
    <t>taillard_instances/tail_063.dat</t>
  </si>
  <si>
    <t>taillard_instances/tail_073.dat</t>
  </si>
  <si>
    <t>taillard_instances/tail_083.dat</t>
  </si>
  <si>
    <t>taillard_instances/tail_093.dat</t>
  </si>
  <si>
    <t>taillard_instances/tail_103.dat</t>
  </si>
  <si>
    <t>taillard_instances/tail_113.dat</t>
  </si>
  <si>
    <t>taillard_instances/tail_004.dat</t>
  </si>
  <si>
    <t>taillard_instances/tail_014.dat</t>
  </si>
  <si>
    <t>taillard_instances/tail_024.dat</t>
  </si>
  <si>
    <t>taillard_instances/tail_034.dat</t>
  </si>
  <si>
    <t>taillard_instances/tail_044.dat</t>
  </si>
  <si>
    <t>taillard_instances/tail_054.dat</t>
  </si>
  <si>
    <t>taillard_instances/tail_064.dat</t>
  </si>
  <si>
    <t>taillard_instances/tail_074.dat</t>
  </si>
  <si>
    <t>taillard_instances/tail_084.dat</t>
  </si>
  <si>
    <t>taillard_instances/tail_094.dat</t>
  </si>
  <si>
    <t>taillard_instances/tail_104.dat</t>
  </si>
  <si>
    <t>taillard_instances/tail_114.dat</t>
  </si>
  <si>
    <t>taillard_instances/tail_005.dat</t>
  </si>
  <si>
    <t>taillard_instances/tail_015.dat</t>
  </si>
  <si>
    <t>taillard_instances/tail_025.dat</t>
  </si>
  <si>
    <t>taillard_instances/tail_035.dat</t>
  </si>
  <si>
    <t>taillard_instances/tail_045.dat</t>
  </si>
  <si>
    <t>taillard_instances/tail_055.dat</t>
  </si>
  <si>
    <t>taillard_instances/tail_065.dat</t>
  </si>
  <si>
    <t>taillard_instances/tail_075.dat</t>
  </si>
  <si>
    <t>taillard_instances/tail_085.dat</t>
  </si>
  <si>
    <t>taillard_instances/tail_095.dat</t>
  </si>
  <si>
    <t>taillard_instances/tail_105.dat</t>
  </si>
  <si>
    <t>taillard_instances/tail_115.dat</t>
  </si>
  <si>
    <t>taillard_instances/tail_006.dat</t>
  </si>
  <si>
    <t>taillard_instances/tail_016.dat</t>
  </si>
  <si>
    <t>taillard_instances/tail_026.dat</t>
  </si>
  <si>
    <t>taillard_instances/tail_036.dat</t>
  </si>
  <si>
    <t>taillard_instances/tail_046.dat</t>
  </si>
  <si>
    <t>taillard_instances/tail_056.dat</t>
  </si>
  <si>
    <t>taillard_instances/tail_066.dat</t>
  </si>
  <si>
    <t>taillard_instances/tail_076.dat</t>
  </si>
  <si>
    <t>taillard_instances/tail_086.dat</t>
  </si>
  <si>
    <t>taillard_instances/tail_096.dat</t>
  </si>
  <si>
    <t>taillard_instances/tail_106.dat</t>
  </si>
  <si>
    <t>taillard_instances/tail_116.dat</t>
  </si>
  <si>
    <t>taillard_instances/tail_007.dat</t>
  </si>
  <si>
    <t>taillard_instances/tail_017.dat</t>
  </si>
  <si>
    <t>taillard_instances/tail_027.dat</t>
  </si>
  <si>
    <t>taillard_instances/tail_037.dat</t>
  </si>
  <si>
    <t>taillard_instances/tail_047.dat</t>
  </si>
  <si>
    <t>taillard_instances/tail_057.dat</t>
  </si>
  <si>
    <t>taillard_instances/tail_067.dat</t>
  </si>
  <si>
    <t>taillard_instances/tail_077.dat</t>
  </si>
  <si>
    <t>taillard_instances/tail_087.dat</t>
  </si>
  <si>
    <t>taillard_instances/tail_097.dat</t>
  </si>
  <si>
    <t>taillard_instances/tail_107.dat</t>
  </si>
  <si>
    <t>taillard_instances/tail_117.dat</t>
  </si>
  <si>
    <t>taillard_instances/tail_008.dat</t>
  </si>
  <si>
    <t>taillard_instances/tail_018.dat</t>
  </si>
  <si>
    <t>taillard_instances/tail_028.dat</t>
  </si>
  <si>
    <t>taillard_instances/tail_038.dat</t>
  </si>
  <si>
    <t>taillard_instances/tail_048.dat</t>
  </si>
  <si>
    <t>taillard_instances/tail_058.dat</t>
  </si>
  <si>
    <t>taillard_instances/tail_068.dat</t>
  </si>
  <si>
    <t>taillard_instances/tail_078.dat</t>
  </si>
  <si>
    <t>taillard_instances/tail_088.dat</t>
  </si>
  <si>
    <t>taillard_instances/tail_098.dat</t>
  </si>
  <si>
    <t>taillard_instances/tail_108.dat</t>
  </si>
  <si>
    <t>taillard_instances/tail_118.dat</t>
  </si>
  <si>
    <t>taillard_instances/tail_009.dat</t>
  </si>
  <si>
    <t>taillard_instances/tail_019.dat</t>
  </si>
  <si>
    <t>taillard_instances/tail_029.dat</t>
  </si>
  <si>
    <t>taillard_instances/tail_039.dat</t>
  </si>
  <si>
    <t>taillard_instances/tail_049.dat</t>
  </si>
  <si>
    <t>taillard_instances/tail_059.dat</t>
  </si>
  <si>
    <t>taillard_instances/tail_069.dat</t>
  </si>
  <si>
    <t>taillard_instances/tail_079.dat</t>
  </si>
  <si>
    <t>taillard_instances/tail_089.dat</t>
  </si>
  <si>
    <t>taillard_instances/tail_099.dat</t>
  </si>
  <si>
    <t>taillard_instances/tail_109.dat</t>
  </si>
  <si>
    <t>taillard_instances/tail_119.dat</t>
  </si>
  <si>
    <t>taillard_instances/tail_010.dat</t>
  </si>
  <si>
    <t>taillard_instances/tail_020.dat</t>
  </si>
  <si>
    <t>taillard_instances/tail_030.dat</t>
  </si>
  <si>
    <t>taillard_instances/tail_040.dat</t>
  </si>
  <si>
    <t>taillard_instances/tail_050.dat</t>
  </si>
  <si>
    <t>taillard_instances/tail_060.dat</t>
  </si>
  <si>
    <t>taillard_instances/tail_070.dat</t>
  </si>
  <si>
    <t>taillard_instances/tail_080.dat</t>
  </si>
  <si>
    <t>taillard_instances/tail_090.dat</t>
  </si>
  <si>
    <t>taillard_instances/tail_100.dat</t>
  </si>
  <si>
    <t>taillard_instances/tail_110.dat</t>
  </si>
  <si>
    <t>taillard_instances/tail_120.dat</t>
  </si>
  <si>
    <t>ARE</t>
  </si>
  <si>
    <t>MRE</t>
  </si>
  <si>
    <t>[jobs*machines]</t>
  </si>
  <si>
    <t xml:space="preserve">Średni czas NEH [ms</t>
  </si>
  <si>
    <t xml:space="preserve">Średni czas FNEH</t>
  </si>
  <si>
    <t xml:space="preserve">instance size</t>
  </si>
  <si>
    <t>20x5</t>
  </si>
  <si>
    <t>20x10</t>
  </si>
  <si>
    <t>20x20</t>
  </si>
  <si>
    <t>50x5</t>
  </si>
  <si>
    <t>50x10</t>
  </si>
  <si>
    <t>50x20</t>
  </si>
  <si>
    <t>100x5</t>
  </si>
  <si>
    <t>100x10</t>
  </si>
  <si>
    <t>100x20</t>
  </si>
  <si>
    <t>200x10</t>
  </si>
  <si>
    <t>200x20</t>
  </si>
  <si>
    <t>500x20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</si>
</sst>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/>
    <xf fontId="0" fillId="0" borderId="0" numFmtId="10" xfId="0" applyNumberFormat="1"/>
    <xf fontId="0" fillId="0" borderId="0" numFmtId="0" xfId="0">
      <protection hidden="0" locked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1.8515625"/>
    <col customWidth="1" min="8" max="8" width="8.140625"/>
  </cols>
  <sheetData>
    <row r="1" ht="14.25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0</v>
      </c>
      <c r="U1" t="s">
        <v>1</v>
      </c>
      <c r="V1" t="s">
        <v>2</v>
      </c>
      <c r="W1" t="s">
        <v>3</v>
      </c>
      <c r="X1" t="s">
        <v>4</v>
      </c>
      <c r="Y1" t="s">
        <v>5</v>
      </c>
      <c r="Z1" t="s">
        <v>0</v>
      </c>
      <c r="AA1" t="s">
        <v>1</v>
      </c>
      <c r="AB1" t="s">
        <v>2</v>
      </c>
      <c r="AC1" t="s">
        <v>3</v>
      </c>
      <c r="AD1" t="s">
        <v>4</v>
      </c>
      <c r="AE1" t="s">
        <v>5</v>
      </c>
      <c r="AF1" t="s">
        <v>0</v>
      </c>
      <c r="AG1" t="s">
        <v>1</v>
      </c>
      <c r="AH1" t="s">
        <v>2</v>
      </c>
      <c r="AI1" t="s">
        <v>3</v>
      </c>
      <c r="AJ1" t="s">
        <v>4</v>
      </c>
      <c r="AK1" t="s">
        <v>5</v>
      </c>
      <c r="AL1" t="s">
        <v>0</v>
      </c>
      <c r="AM1" t="s">
        <v>1</v>
      </c>
      <c r="AN1" t="s">
        <v>2</v>
      </c>
      <c r="AO1" t="s">
        <v>3</v>
      </c>
      <c r="AP1" t="s">
        <v>4</v>
      </c>
      <c r="AQ1" t="s">
        <v>5</v>
      </c>
      <c r="AR1" t="s">
        <v>0</v>
      </c>
      <c r="AS1" t="s">
        <v>1</v>
      </c>
      <c r="AT1" t="s">
        <v>2</v>
      </c>
      <c r="AU1" t="s">
        <v>3</v>
      </c>
      <c r="AV1" t="s">
        <v>4</v>
      </c>
      <c r="AW1" t="s">
        <v>5</v>
      </c>
      <c r="AX1" t="s">
        <v>0</v>
      </c>
      <c r="AY1" t="s">
        <v>1</v>
      </c>
      <c r="AZ1" t="s">
        <v>2</v>
      </c>
      <c r="BA1" t="s">
        <v>3</v>
      </c>
      <c r="BB1" t="s">
        <v>4</v>
      </c>
      <c r="BC1" t="s">
        <v>5</v>
      </c>
      <c r="BD1" t="s">
        <v>0</v>
      </c>
      <c r="BE1" t="s">
        <v>1</v>
      </c>
      <c r="BF1" t="s">
        <v>2</v>
      </c>
      <c r="BG1" t="s">
        <v>3</v>
      </c>
      <c r="BH1" t="s">
        <v>4</v>
      </c>
      <c r="BI1" t="s">
        <v>5</v>
      </c>
      <c r="BJ1" t="s">
        <v>0</v>
      </c>
      <c r="BK1" t="s">
        <v>1</v>
      </c>
      <c r="BL1" t="s">
        <v>2</v>
      </c>
      <c r="BM1" t="s">
        <v>3</v>
      </c>
      <c r="BN1" t="s">
        <v>4</v>
      </c>
      <c r="BO1" t="s">
        <v>5</v>
      </c>
      <c r="BP1" t="s">
        <v>0</v>
      </c>
      <c r="BQ1" t="s">
        <v>1</v>
      </c>
      <c r="BR1" t="s">
        <v>2</v>
      </c>
      <c r="BS1" t="s">
        <v>3</v>
      </c>
      <c r="BT1" t="s">
        <v>4</v>
      </c>
      <c r="BU1" t="s">
        <v>5</v>
      </c>
    </row>
    <row r="2" ht="14.25">
      <c r="A2"/>
      <c r="B2" t="s">
        <v>6</v>
      </c>
      <c r="C2">
        <v>1286</v>
      </c>
      <c r="D2">
        <v>0.15113400000000002</v>
      </c>
      <c r="E2">
        <v>1286</v>
      </c>
      <c r="F2">
        <v>0.017595</v>
      </c>
      <c r="G2">
        <v>1278</v>
      </c>
      <c r="H2" t="s">
        <v>7</v>
      </c>
      <c r="I2">
        <v>1680</v>
      </c>
      <c r="J2">
        <v>0.16595100000000002</v>
      </c>
      <c r="K2">
        <v>1680</v>
      </c>
      <c r="L2">
        <v>0.021416000000000001</v>
      </c>
      <c r="M2">
        <v>1582</v>
      </c>
      <c r="N2" t="s">
        <v>8</v>
      </c>
      <c r="O2">
        <v>2410</v>
      </c>
      <c r="P2">
        <v>0.184976</v>
      </c>
      <c r="Q2">
        <v>2410</v>
      </c>
      <c r="R2">
        <v>0.027257999999999998</v>
      </c>
      <c r="S2">
        <v>2297</v>
      </c>
      <c r="T2" t="s">
        <v>9</v>
      </c>
      <c r="U2">
        <v>2733</v>
      </c>
      <c r="V2">
        <v>2.3062199999999997</v>
      </c>
      <c r="W2">
        <v>2733</v>
      </c>
      <c r="X2">
        <v>0.090360999999999997</v>
      </c>
      <c r="Y2">
        <v>2724</v>
      </c>
      <c r="Z2" t="s">
        <v>10</v>
      </c>
      <c r="AA2">
        <v>3135</v>
      </c>
      <c r="AB2">
        <v>2.3687999999999998</v>
      </c>
      <c r="AC2">
        <v>3135</v>
      </c>
      <c r="AD2">
        <v>0.105869</v>
      </c>
      <c r="AE2">
        <v>3037</v>
      </c>
      <c r="AF2" t="s">
        <v>11</v>
      </c>
      <c r="AG2">
        <v>4082</v>
      </c>
      <c r="AH2">
        <v>2.5935600000000001</v>
      </c>
      <c r="AI2">
        <v>4082</v>
      </c>
      <c r="AJ2">
        <v>0.15060400000000002</v>
      </c>
      <c r="AK2">
        <v>3886</v>
      </c>
      <c r="AL2" t="s">
        <v>12</v>
      </c>
      <c r="AM2">
        <v>5519</v>
      </c>
      <c r="AN2">
        <v>18.437899999999999</v>
      </c>
      <c r="AO2">
        <v>5519</v>
      </c>
      <c r="AP2">
        <v>0.31126500000000001</v>
      </c>
      <c r="AQ2">
        <v>5493</v>
      </c>
      <c r="AR2" t="s">
        <v>13</v>
      </c>
      <c r="AS2">
        <v>5846</v>
      </c>
      <c r="AT2">
        <v>19.453399999999998</v>
      </c>
      <c r="AU2">
        <v>5846</v>
      </c>
      <c r="AV2">
        <v>0.389407</v>
      </c>
      <c r="AW2">
        <v>5776</v>
      </c>
      <c r="AX2" t="s">
        <v>14</v>
      </c>
      <c r="AY2">
        <v>6541</v>
      </c>
      <c r="AZ2">
        <v>20.896100000000001</v>
      </c>
      <c r="BA2">
        <v>6541</v>
      </c>
      <c r="BB2">
        <v>0.53625500000000004</v>
      </c>
      <c r="BC2">
        <v>6330</v>
      </c>
      <c r="BD2" t="s">
        <v>15</v>
      </c>
      <c r="BE2">
        <v>10942</v>
      </c>
      <c r="BF2">
        <v>156.899</v>
      </c>
      <c r="BG2">
        <v>10942</v>
      </c>
      <c r="BH2">
        <v>1.4153900000000001</v>
      </c>
      <c r="BI2">
        <v>10872</v>
      </c>
      <c r="BJ2" t="s">
        <v>16</v>
      </c>
      <c r="BK2">
        <v>11594</v>
      </c>
      <c r="BL2">
        <v>175.68700000000001</v>
      </c>
      <c r="BM2">
        <v>11594</v>
      </c>
      <c r="BN2">
        <v>2.1195400000000002</v>
      </c>
      <c r="BO2">
        <v>11393</v>
      </c>
      <c r="BP2" t="s">
        <v>17</v>
      </c>
      <c r="BQ2">
        <v>26670</v>
      </c>
      <c r="BR2">
        <v>2821.1199999999999</v>
      </c>
      <c r="BS2">
        <v>26670</v>
      </c>
      <c r="BT2">
        <v>13.0501</v>
      </c>
      <c r="BU2">
        <v>26316</v>
      </c>
    </row>
    <row r="3" ht="14.25">
      <c r="A3"/>
      <c r="B3" t="s">
        <v>18</v>
      </c>
      <c r="C3">
        <v>1365</v>
      </c>
      <c r="D3">
        <v>0.15016000000000002</v>
      </c>
      <c r="E3">
        <v>1365</v>
      </c>
      <c r="F3">
        <v>0.018672999999999999</v>
      </c>
      <c r="G3">
        <v>1359</v>
      </c>
      <c r="H3" t="s">
        <v>19</v>
      </c>
      <c r="I3">
        <v>1729</v>
      </c>
      <c r="J3">
        <v>0.16370100000000001</v>
      </c>
      <c r="K3">
        <v>1729</v>
      </c>
      <c r="L3">
        <v>0.022381999999999999</v>
      </c>
      <c r="M3">
        <v>1659</v>
      </c>
      <c r="N3" t="s">
        <v>20</v>
      </c>
      <c r="O3">
        <v>2150</v>
      </c>
      <c r="P3">
        <v>0.20299399999999998</v>
      </c>
      <c r="Q3">
        <v>2150</v>
      </c>
      <c r="R3">
        <v>0.028209000000000001</v>
      </c>
      <c r="S3">
        <v>2099</v>
      </c>
      <c r="T3" t="s">
        <v>21</v>
      </c>
      <c r="U3">
        <v>2843</v>
      </c>
      <c r="V3">
        <v>2.5037700000000003</v>
      </c>
      <c r="W3">
        <v>2843</v>
      </c>
      <c r="X3">
        <v>0.11201899999999999</v>
      </c>
      <c r="Y3">
        <v>2836</v>
      </c>
      <c r="Z3" t="s">
        <v>22</v>
      </c>
      <c r="AA3">
        <v>3032</v>
      </c>
      <c r="AB3">
        <v>2.3961600000000001</v>
      </c>
      <c r="AC3">
        <v>3032</v>
      </c>
      <c r="AD3">
        <v>0.109222</v>
      </c>
      <c r="AE3">
        <v>2911</v>
      </c>
      <c r="AF3" t="s">
        <v>23</v>
      </c>
      <c r="AG3">
        <v>3921</v>
      </c>
      <c r="AH3">
        <v>2.7759499999999999</v>
      </c>
      <c r="AI3">
        <v>3921</v>
      </c>
      <c r="AJ3">
        <v>0.151337</v>
      </c>
      <c r="AK3">
        <v>3733</v>
      </c>
      <c r="AL3" t="s">
        <v>24</v>
      </c>
      <c r="AM3">
        <v>5348</v>
      </c>
      <c r="AN3">
        <v>19.4496</v>
      </c>
      <c r="AO3">
        <v>5348</v>
      </c>
      <c r="AP3">
        <v>0.32108499999999995</v>
      </c>
      <c r="AQ3">
        <v>5274</v>
      </c>
      <c r="AR3" t="s">
        <v>25</v>
      </c>
      <c r="AS3">
        <v>5453</v>
      </c>
      <c r="AT3">
        <v>19.893699999999999</v>
      </c>
      <c r="AU3">
        <v>5453</v>
      </c>
      <c r="AV3">
        <v>0.40547499999999997</v>
      </c>
      <c r="AW3">
        <v>5362</v>
      </c>
      <c r="AX3" t="s">
        <v>26</v>
      </c>
      <c r="AY3">
        <v>6523</v>
      </c>
      <c r="AZ3">
        <v>22.209400000000002</v>
      </c>
      <c r="BA3">
        <v>6523</v>
      </c>
      <c r="BB3">
        <v>0.55033600000000005</v>
      </c>
      <c r="BC3">
        <v>6320</v>
      </c>
      <c r="BD3" t="s">
        <v>27</v>
      </c>
      <c r="BE3">
        <v>10716</v>
      </c>
      <c r="BF3">
        <v>160.32299999999998</v>
      </c>
      <c r="BG3">
        <v>10716</v>
      </c>
      <c r="BH3">
        <v>1.47664</v>
      </c>
      <c r="BI3">
        <v>10500</v>
      </c>
      <c r="BJ3" t="s">
        <v>28</v>
      </c>
      <c r="BK3">
        <v>11675</v>
      </c>
      <c r="BL3">
        <v>172.05100000000002</v>
      </c>
      <c r="BM3">
        <v>11675</v>
      </c>
      <c r="BN3">
        <v>2.09504</v>
      </c>
      <c r="BO3">
        <v>11445</v>
      </c>
      <c r="BP3" t="s">
        <v>29</v>
      </c>
      <c r="BQ3">
        <v>27232</v>
      </c>
      <c r="BR3">
        <v>3129.6900000000001</v>
      </c>
      <c r="BS3">
        <v>27232</v>
      </c>
      <c r="BT3">
        <v>13.287800000000001</v>
      </c>
      <c r="BU3">
        <v>26807</v>
      </c>
    </row>
    <row r="4" ht="14.25">
      <c r="A4"/>
      <c r="B4" t="s">
        <v>30</v>
      </c>
      <c r="C4">
        <v>1159</v>
      </c>
      <c r="D4">
        <v>0.15242</v>
      </c>
      <c r="E4">
        <v>1159</v>
      </c>
      <c r="F4">
        <v>0.017906999999999999</v>
      </c>
      <c r="G4">
        <v>1081</v>
      </c>
      <c r="H4" t="s">
        <v>31</v>
      </c>
      <c r="I4">
        <v>1557</v>
      </c>
      <c r="J4">
        <v>0.15498199999999998</v>
      </c>
      <c r="K4">
        <v>1557</v>
      </c>
      <c r="L4">
        <v>0.020291</v>
      </c>
      <c r="M4">
        <v>1496</v>
      </c>
      <c r="N4" t="s">
        <v>32</v>
      </c>
      <c r="O4">
        <v>2411</v>
      </c>
      <c r="P4">
        <v>0.18359400000000001</v>
      </c>
      <c r="Q4">
        <v>2411</v>
      </c>
      <c r="R4">
        <v>0.027969000000000001</v>
      </c>
      <c r="S4">
        <v>2326</v>
      </c>
      <c r="T4" t="s">
        <v>33</v>
      </c>
      <c r="U4">
        <v>2640</v>
      </c>
      <c r="V4">
        <v>2.3581300000000001</v>
      </c>
      <c r="W4">
        <v>2640</v>
      </c>
      <c r="X4">
        <v>0.097152999999999989</v>
      </c>
      <c r="Y4">
        <v>2621</v>
      </c>
      <c r="Z4" t="s">
        <v>34</v>
      </c>
      <c r="AA4">
        <v>2986</v>
      </c>
      <c r="AB4">
        <v>2.5160500000000003</v>
      </c>
      <c r="AC4">
        <v>2986</v>
      </c>
      <c r="AD4">
        <v>0.104517</v>
      </c>
      <c r="AE4">
        <v>2871</v>
      </c>
      <c r="AF4" t="s">
        <v>35</v>
      </c>
      <c r="AG4">
        <v>3927</v>
      </c>
      <c r="AH4">
        <v>2.7562600000000002</v>
      </c>
      <c r="AI4">
        <v>3927</v>
      </c>
      <c r="AJ4">
        <v>0.166162</v>
      </c>
      <c r="AK4">
        <v>3673</v>
      </c>
      <c r="AL4" t="s">
        <v>36</v>
      </c>
      <c r="AM4">
        <v>5219</v>
      </c>
      <c r="AN4">
        <v>18.332799999999999</v>
      </c>
      <c r="AO4">
        <v>5219</v>
      </c>
      <c r="AP4">
        <v>0.315195</v>
      </c>
      <c r="AQ4">
        <v>5175</v>
      </c>
      <c r="AR4" t="s">
        <v>37</v>
      </c>
      <c r="AS4">
        <v>5824</v>
      </c>
      <c r="AT4">
        <v>19.788499999999999</v>
      </c>
      <c r="AU4">
        <v>5824</v>
      </c>
      <c r="AV4">
        <v>0.38237699999999997</v>
      </c>
      <c r="AW4">
        <v>5679</v>
      </c>
      <c r="AX4" t="s">
        <v>38</v>
      </c>
      <c r="AY4">
        <v>6639</v>
      </c>
      <c r="AZ4">
        <v>22.650199999999998</v>
      </c>
      <c r="BA4">
        <v>6639</v>
      </c>
      <c r="BB4">
        <v>0.55579900000000004</v>
      </c>
      <c r="BC4">
        <v>6364</v>
      </c>
      <c r="BD4" t="s">
        <v>39</v>
      </c>
      <c r="BE4">
        <v>11025</v>
      </c>
      <c r="BF4">
        <v>165.00200000000001</v>
      </c>
      <c r="BG4">
        <v>11025</v>
      </c>
      <c r="BH4">
        <v>1.5359200000000002</v>
      </c>
      <c r="BI4">
        <v>10956</v>
      </c>
      <c r="BJ4" t="s">
        <v>40</v>
      </c>
      <c r="BK4">
        <v>11852</v>
      </c>
      <c r="BL4">
        <v>174.17699999999999</v>
      </c>
      <c r="BM4">
        <v>11852</v>
      </c>
      <c r="BN4">
        <v>2.1594100000000003</v>
      </c>
      <c r="BO4">
        <v>11522</v>
      </c>
      <c r="BP4" t="s">
        <v>41</v>
      </c>
      <c r="BQ4">
        <v>26848</v>
      </c>
      <c r="BR4">
        <v>3106.4400000000001</v>
      </c>
      <c r="BS4">
        <v>26848</v>
      </c>
      <c r="BT4">
        <v>13.962900000000001</v>
      </c>
      <c r="BU4">
        <v>26626</v>
      </c>
    </row>
    <row r="5" ht="14.25">
      <c r="A5"/>
      <c r="B5" t="s">
        <v>42</v>
      </c>
      <c r="C5">
        <v>1325</v>
      </c>
      <c r="D5">
        <v>0.15076400000000001</v>
      </c>
      <c r="E5">
        <v>1325</v>
      </c>
      <c r="F5">
        <v>0.017987</v>
      </c>
      <c r="G5">
        <v>1293</v>
      </c>
      <c r="H5" t="s">
        <v>43</v>
      </c>
      <c r="I5">
        <v>1439</v>
      </c>
      <c r="J5">
        <v>0.174566</v>
      </c>
      <c r="K5">
        <v>1439</v>
      </c>
      <c r="L5">
        <v>0.020371</v>
      </c>
      <c r="M5">
        <v>1377</v>
      </c>
      <c r="N5" t="s">
        <v>44</v>
      </c>
      <c r="O5">
        <v>2262</v>
      </c>
      <c r="P5">
        <v>0.18387500000000001</v>
      </c>
      <c r="Q5">
        <v>2262</v>
      </c>
      <c r="R5">
        <v>0.027333</v>
      </c>
      <c r="S5">
        <v>2223</v>
      </c>
      <c r="T5" t="s">
        <v>45</v>
      </c>
      <c r="U5">
        <v>2782</v>
      </c>
      <c r="V5">
        <v>2.4151699999999998</v>
      </c>
      <c r="W5">
        <v>2782</v>
      </c>
      <c r="X5">
        <v>0.09571700000000001</v>
      </c>
      <c r="Y5">
        <v>2751</v>
      </c>
      <c r="Z5" t="s">
        <v>46</v>
      </c>
      <c r="AA5">
        <v>3198</v>
      </c>
      <c r="AB5">
        <v>2.4584799999999998</v>
      </c>
      <c r="AC5">
        <v>3198</v>
      </c>
      <c r="AD5">
        <v>0.10719099999999999</v>
      </c>
      <c r="AE5">
        <v>3067</v>
      </c>
      <c r="AF5" t="s">
        <v>47</v>
      </c>
      <c r="AG5">
        <v>3969</v>
      </c>
      <c r="AH5">
        <v>2.6988699999999999</v>
      </c>
      <c r="AI5">
        <v>3969</v>
      </c>
      <c r="AJ5">
        <v>0.15407100000000001</v>
      </c>
      <c r="AK5">
        <v>3755</v>
      </c>
      <c r="AL5" t="s">
        <v>48</v>
      </c>
      <c r="AM5">
        <v>5023</v>
      </c>
      <c r="AN5">
        <v>18.9682</v>
      </c>
      <c r="AO5">
        <v>5023</v>
      </c>
      <c r="AP5">
        <v>0.30743300000000001</v>
      </c>
      <c r="AQ5">
        <v>5018</v>
      </c>
      <c r="AR5" t="s">
        <v>49</v>
      </c>
      <c r="AS5">
        <v>5929</v>
      </c>
      <c r="AT5">
        <v>19.417100000000001</v>
      </c>
      <c r="AU5">
        <v>5929</v>
      </c>
      <c r="AV5">
        <v>0.37748900000000002</v>
      </c>
      <c r="AW5">
        <v>5820</v>
      </c>
      <c r="AX5" t="s">
        <v>50</v>
      </c>
      <c r="AY5">
        <v>6557</v>
      </c>
      <c r="AZ5">
        <v>20.917100000000001</v>
      </c>
      <c r="BA5">
        <v>6557</v>
      </c>
      <c r="BB5">
        <v>0.548678</v>
      </c>
      <c r="BC5">
        <v>6331</v>
      </c>
      <c r="BD5" t="s">
        <v>51</v>
      </c>
      <c r="BE5">
        <v>11057</v>
      </c>
      <c r="BF5">
        <v>163.52000000000001</v>
      </c>
      <c r="BG5">
        <v>11057</v>
      </c>
      <c r="BH5">
        <v>1.5124299999999999</v>
      </c>
      <c r="BI5">
        <v>10893</v>
      </c>
      <c r="BJ5" t="s">
        <v>52</v>
      </c>
      <c r="BK5">
        <v>11803</v>
      </c>
      <c r="BL5">
        <v>172.40600000000001</v>
      </c>
      <c r="BM5">
        <v>11803</v>
      </c>
      <c r="BN5">
        <v>2.1216599999999999</v>
      </c>
      <c r="BO5">
        <v>11461</v>
      </c>
      <c r="BP5" t="s">
        <v>53</v>
      </c>
      <c r="BQ5">
        <v>27055</v>
      </c>
      <c r="BR5">
        <v>3092.46</v>
      </c>
      <c r="BS5">
        <v>27055</v>
      </c>
      <c r="BT5">
        <v>13.2417</v>
      </c>
      <c r="BU5">
        <v>26642</v>
      </c>
    </row>
    <row r="6" ht="14.25">
      <c r="A6"/>
      <c r="B6" t="s">
        <v>54</v>
      </c>
      <c r="C6">
        <v>1305</v>
      </c>
      <c r="D6">
        <v>0.16373900000000002</v>
      </c>
      <c r="E6">
        <v>1305</v>
      </c>
      <c r="F6">
        <v>0.016697999999999998</v>
      </c>
      <c r="G6">
        <v>1235</v>
      </c>
      <c r="H6" t="s">
        <v>55</v>
      </c>
      <c r="I6">
        <v>1502</v>
      </c>
      <c r="J6">
        <v>0.16141</v>
      </c>
      <c r="K6">
        <v>1502</v>
      </c>
      <c r="L6">
        <v>0.019906</v>
      </c>
      <c r="M6">
        <v>1419</v>
      </c>
      <c r="N6" t="s">
        <v>56</v>
      </c>
      <c r="O6">
        <v>2397</v>
      </c>
      <c r="P6">
        <v>0.18209800000000001</v>
      </c>
      <c r="Q6">
        <v>2397</v>
      </c>
      <c r="R6">
        <v>0.026737</v>
      </c>
      <c r="S6">
        <v>2291</v>
      </c>
      <c r="T6" t="s">
        <v>57</v>
      </c>
      <c r="U6">
        <v>2868</v>
      </c>
      <c r="V6">
        <v>2.3921900000000003</v>
      </c>
      <c r="W6">
        <v>2868</v>
      </c>
      <c r="X6">
        <v>0.10255499999999999</v>
      </c>
      <c r="Y6">
        <v>2863</v>
      </c>
      <c r="Z6" t="s">
        <v>58</v>
      </c>
      <c r="AA6">
        <v>3160</v>
      </c>
      <c r="AB6">
        <v>2.4454400000000001</v>
      </c>
      <c r="AC6">
        <v>3160</v>
      </c>
      <c r="AD6">
        <v>0.107491</v>
      </c>
      <c r="AE6">
        <v>3011</v>
      </c>
      <c r="AF6" t="s">
        <v>59</v>
      </c>
      <c r="AG6">
        <v>3835</v>
      </c>
      <c r="AH6">
        <v>2.7865799999999998</v>
      </c>
      <c r="AI6">
        <v>3835</v>
      </c>
      <c r="AJ6">
        <v>0.15276800000000001</v>
      </c>
      <c r="AK6">
        <v>3648</v>
      </c>
      <c r="AL6" t="s">
        <v>60</v>
      </c>
      <c r="AM6">
        <v>5266</v>
      </c>
      <c r="AN6">
        <v>18.951099999999997</v>
      </c>
      <c r="AO6">
        <v>5266</v>
      </c>
      <c r="AP6">
        <v>0.30982900000000002</v>
      </c>
      <c r="AQ6">
        <v>5250</v>
      </c>
      <c r="AR6" t="s">
        <v>61</v>
      </c>
      <c r="AS6">
        <v>5679</v>
      </c>
      <c r="AT6">
        <v>19.3125</v>
      </c>
      <c r="AU6">
        <v>5679</v>
      </c>
      <c r="AV6">
        <v>0.38984799999999997</v>
      </c>
      <c r="AW6">
        <v>5491</v>
      </c>
      <c r="AX6" t="s">
        <v>62</v>
      </c>
      <c r="AY6">
        <v>6695</v>
      </c>
      <c r="AZ6">
        <v>20.999500000000001</v>
      </c>
      <c r="BA6">
        <v>6695</v>
      </c>
      <c r="BB6">
        <v>0.54449200000000009</v>
      </c>
      <c r="BC6">
        <v>6405</v>
      </c>
      <c r="BD6" t="s">
        <v>63</v>
      </c>
      <c r="BE6">
        <v>10645</v>
      </c>
      <c r="BF6">
        <v>163.071</v>
      </c>
      <c r="BG6">
        <v>10645</v>
      </c>
      <c r="BH6">
        <v>1.4642999999999999</v>
      </c>
      <c r="BI6">
        <v>10537</v>
      </c>
      <c r="BJ6" t="s">
        <v>64</v>
      </c>
      <c r="BK6">
        <v>11685</v>
      </c>
      <c r="BL6">
        <v>176.77100000000002</v>
      </c>
      <c r="BM6">
        <v>11685</v>
      </c>
      <c r="BN6">
        <v>2.1450399999999998</v>
      </c>
      <c r="BO6">
        <v>11427</v>
      </c>
      <c r="BP6" t="s">
        <v>65</v>
      </c>
      <c r="BQ6">
        <v>26727</v>
      </c>
      <c r="BR6">
        <v>3108.8099999999999</v>
      </c>
      <c r="BS6">
        <v>26727</v>
      </c>
      <c r="BT6">
        <v>14.177</v>
      </c>
      <c r="BU6">
        <v>26509</v>
      </c>
    </row>
    <row r="7" ht="14.25">
      <c r="A7"/>
      <c r="B7" t="s">
        <v>66</v>
      </c>
      <c r="C7">
        <v>1228</v>
      </c>
      <c r="D7">
        <v>0.14838999999999999</v>
      </c>
      <c r="E7">
        <v>1228</v>
      </c>
      <c r="F7">
        <v>0.022809000000000003</v>
      </c>
      <c r="G7">
        <v>1195</v>
      </c>
      <c r="H7" t="s">
        <v>67</v>
      </c>
      <c r="I7">
        <v>1453</v>
      </c>
      <c r="J7">
        <v>0.16273899999999999</v>
      </c>
      <c r="K7">
        <v>1453</v>
      </c>
      <c r="L7">
        <v>0.020004999999999998</v>
      </c>
      <c r="M7">
        <v>1397</v>
      </c>
      <c r="N7" t="s">
        <v>68</v>
      </c>
      <c r="O7">
        <v>2349</v>
      </c>
      <c r="P7">
        <v>0.18123600000000001</v>
      </c>
      <c r="Q7">
        <v>2349</v>
      </c>
      <c r="R7">
        <v>0.030644000000000001</v>
      </c>
      <c r="S7">
        <v>2226</v>
      </c>
      <c r="T7" t="s">
        <v>69</v>
      </c>
      <c r="U7">
        <v>2850</v>
      </c>
      <c r="V7">
        <v>2.3699699999999999</v>
      </c>
      <c r="W7">
        <v>2850</v>
      </c>
      <c r="X7">
        <v>0.093928999999999999</v>
      </c>
      <c r="Y7">
        <v>2829</v>
      </c>
      <c r="Z7" t="s">
        <v>70</v>
      </c>
      <c r="AA7">
        <v>3178</v>
      </c>
      <c r="AB7">
        <v>2.4881799999999998</v>
      </c>
      <c r="AC7">
        <v>3178</v>
      </c>
      <c r="AD7">
        <v>0.10455500000000001</v>
      </c>
      <c r="AE7">
        <v>3021</v>
      </c>
      <c r="AF7" t="s">
        <v>71</v>
      </c>
      <c r="AG7">
        <v>3914</v>
      </c>
      <c r="AH7">
        <v>3.1529400000000001</v>
      </c>
      <c r="AI7">
        <v>3914</v>
      </c>
      <c r="AJ7">
        <v>0.15634599999999998</v>
      </c>
      <c r="AK7">
        <v>3719</v>
      </c>
      <c r="AL7" t="s">
        <v>72</v>
      </c>
      <c r="AM7">
        <v>5139</v>
      </c>
      <c r="AN7">
        <v>18.784200000000002</v>
      </c>
      <c r="AO7">
        <v>5139</v>
      </c>
      <c r="AP7">
        <v>0.32350199999999996</v>
      </c>
      <c r="AQ7">
        <v>5135</v>
      </c>
      <c r="AR7" t="s">
        <v>73</v>
      </c>
      <c r="AS7">
        <v>5375</v>
      </c>
      <c r="AT7">
        <v>19.4802</v>
      </c>
      <c r="AU7">
        <v>5375</v>
      </c>
      <c r="AV7">
        <v>0.367531</v>
      </c>
      <c r="AW7">
        <v>5303</v>
      </c>
      <c r="AX7" t="s">
        <v>74</v>
      </c>
      <c r="AY7">
        <v>6664</v>
      </c>
      <c r="AZ7">
        <v>21.2255</v>
      </c>
      <c r="BA7">
        <v>6664</v>
      </c>
      <c r="BB7">
        <v>0.54856000000000005</v>
      </c>
      <c r="BC7">
        <v>6487</v>
      </c>
      <c r="BD7" t="s">
        <v>75</v>
      </c>
      <c r="BE7">
        <v>10458</v>
      </c>
      <c r="BF7">
        <v>166.345</v>
      </c>
      <c r="BG7">
        <v>10458</v>
      </c>
      <c r="BH7">
        <v>1.5841099999999999</v>
      </c>
      <c r="BI7">
        <v>10347</v>
      </c>
      <c r="BJ7" t="s">
        <v>76</v>
      </c>
      <c r="BK7">
        <v>11629</v>
      </c>
      <c r="BL7">
        <v>176.68100000000001</v>
      </c>
      <c r="BM7">
        <v>11629</v>
      </c>
      <c r="BN7">
        <v>2.1496399999999998</v>
      </c>
      <c r="BO7">
        <v>11368</v>
      </c>
      <c r="BP7" t="s">
        <v>77</v>
      </c>
      <c r="BQ7">
        <v>26992</v>
      </c>
      <c r="BR7">
        <v>3123.9000000000001</v>
      </c>
      <c r="BS7">
        <v>26992</v>
      </c>
      <c r="BT7">
        <v>13.984500000000001</v>
      </c>
      <c r="BU7">
        <v>26654</v>
      </c>
    </row>
    <row r="8" ht="14.25">
      <c r="A8"/>
      <c r="B8" t="s">
        <v>78</v>
      </c>
      <c r="C8">
        <v>1278</v>
      </c>
      <c r="D8">
        <v>0.14865800000000001</v>
      </c>
      <c r="E8">
        <v>1278</v>
      </c>
      <c r="F8">
        <v>0.017528999999999999</v>
      </c>
      <c r="G8">
        <v>1239</v>
      </c>
      <c r="H8" t="s">
        <v>79</v>
      </c>
      <c r="I8">
        <v>1562</v>
      </c>
      <c r="J8">
        <v>0.155053</v>
      </c>
      <c r="K8">
        <v>1562</v>
      </c>
      <c r="L8">
        <v>0.019972</v>
      </c>
      <c r="M8">
        <v>1484</v>
      </c>
      <c r="N8" t="s">
        <v>80</v>
      </c>
      <c r="O8">
        <v>2362</v>
      </c>
      <c r="P8">
        <v>0.184058</v>
      </c>
      <c r="Q8">
        <v>2362</v>
      </c>
      <c r="R8">
        <v>0.02724</v>
      </c>
      <c r="S8">
        <v>2273</v>
      </c>
      <c r="T8" t="s">
        <v>81</v>
      </c>
      <c r="U8">
        <v>2758</v>
      </c>
      <c r="V8">
        <v>2.8150300000000001</v>
      </c>
      <c r="W8">
        <v>2758</v>
      </c>
      <c r="X8">
        <v>0.091568999999999998</v>
      </c>
      <c r="Y8">
        <v>2725</v>
      </c>
      <c r="Z8" t="s">
        <v>82</v>
      </c>
      <c r="AA8">
        <v>3277</v>
      </c>
      <c r="AB8">
        <v>2.4175499999999999</v>
      </c>
      <c r="AC8">
        <v>3277</v>
      </c>
      <c r="AD8">
        <v>0.107123</v>
      </c>
      <c r="AE8">
        <v>3124</v>
      </c>
      <c r="AF8" t="s">
        <v>83</v>
      </c>
      <c r="AG8">
        <v>3952</v>
      </c>
      <c r="AH8">
        <v>2.8037200000000002</v>
      </c>
      <c r="AI8">
        <v>3952</v>
      </c>
      <c r="AJ8">
        <v>0.14746799999999999</v>
      </c>
      <c r="AK8">
        <v>3730</v>
      </c>
      <c r="AL8" t="s">
        <v>84</v>
      </c>
      <c r="AM8">
        <v>5259</v>
      </c>
      <c r="AN8">
        <v>18.9513</v>
      </c>
      <c r="AO8">
        <v>5259</v>
      </c>
      <c r="AP8">
        <v>0.322716</v>
      </c>
      <c r="AQ8">
        <v>5247</v>
      </c>
      <c r="AR8" t="s">
        <v>85</v>
      </c>
      <c r="AS8">
        <v>5704</v>
      </c>
      <c r="AT8">
        <v>20.119199999999999</v>
      </c>
      <c r="AU8">
        <v>5704</v>
      </c>
      <c r="AV8">
        <v>0.36743199999999998</v>
      </c>
      <c r="AW8">
        <v>5600</v>
      </c>
      <c r="AX8" t="s">
        <v>86</v>
      </c>
      <c r="AY8">
        <v>6632</v>
      </c>
      <c r="AZ8">
        <v>21.380600000000001</v>
      </c>
      <c r="BA8">
        <v>6632</v>
      </c>
      <c r="BB8">
        <v>0.57864500000000008</v>
      </c>
      <c r="BC8">
        <v>6379</v>
      </c>
      <c r="BD8" t="s">
        <v>87</v>
      </c>
      <c r="BE8">
        <v>10989</v>
      </c>
      <c r="BF8">
        <v>155.56200000000001</v>
      </c>
      <c r="BG8">
        <v>10989</v>
      </c>
      <c r="BH8">
        <v>1.73594</v>
      </c>
      <c r="BI8">
        <v>10882</v>
      </c>
      <c r="BJ8" t="s">
        <v>88</v>
      </c>
      <c r="BK8">
        <v>11833</v>
      </c>
      <c r="BL8">
        <v>185.45099999999999</v>
      </c>
      <c r="BM8">
        <v>11833</v>
      </c>
      <c r="BN8">
        <v>2.2286799999999998</v>
      </c>
      <c r="BO8">
        <v>11536</v>
      </c>
      <c r="BP8" t="s">
        <v>89</v>
      </c>
      <c r="BQ8">
        <v>26797</v>
      </c>
      <c r="BR8">
        <v>3100.0800000000004</v>
      </c>
      <c r="BS8">
        <v>26797</v>
      </c>
      <c r="BT8">
        <v>13.3917</v>
      </c>
      <c r="BU8">
        <v>26575</v>
      </c>
    </row>
    <row r="9" ht="14.25">
      <c r="A9"/>
      <c r="B9" t="s">
        <v>90</v>
      </c>
      <c r="C9">
        <v>1223</v>
      </c>
      <c r="D9">
        <v>0.152618</v>
      </c>
      <c r="E9">
        <v>1223</v>
      </c>
      <c r="F9">
        <v>0.018006999999999999</v>
      </c>
      <c r="G9">
        <v>1206</v>
      </c>
      <c r="H9" t="s">
        <v>91</v>
      </c>
      <c r="I9">
        <v>1609</v>
      </c>
      <c r="J9">
        <v>0.16060099999999999</v>
      </c>
      <c r="K9">
        <v>1609</v>
      </c>
      <c r="L9">
        <v>0.021043000000000003</v>
      </c>
      <c r="M9">
        <v>1538</v>
      </c>
      <c r="N9" t="s">
        <v>92</v>
      </c>
      <c r="O9">
        <v>2249</v>
      </c>
      <c r="P9">
        <v>0.18742200000000001</v>
      </c>
      <c r="Q9">
        <v>2249</v>
      </c>
      <c r="R9">
        <v>0.027321999999999999</v>
      </c>
      <c r="S9">
        <v>2200</v>
      </c>
      <c r="T9" t="s">
        <v>93</v>
      </c>
      <c r="U9">
        <v>2721</v>
      </c>
      <c r="V9">
        <v>2.3920699999999999</v>
      </c>
      <c r="W9">
        <v>2721</v>
      </c>
      <c r="X9">
        <v>0.093671000000000004</v>
      </c>
      <c r="Y9">
        <v>2683</v>
      </c>
      <c r="Z9" t="s">
        <v>94</v>
      </c>
      <c r="AA9">
        <v>3123</v>
      </c>
      <c r="AB9">
        <v>2.4968999999999997</v>
      </c>
      <c r="AC9">
        <v>3123</v>
      </c>
      <c r="AD9">
        <v>0.13436100000000001</v>
      </c>
      <c r="AE9">
        <v>3048</v>
      </c>
      <c r="AF9" t="s">
        <v>95</v>
      </c>
      <c r="AG9">
        <v>3938</v>
      </c>
      <c r="AH9">
        <v>2.73176</v>
      </c>
      <c r="AI9">
        <v>3938</v>
      </c>
      <c r="AJ9">
        <v>0.14956700000000001</v>
      </c>
      <c r="AK9">
        <v>3737</v>
      </c>
      <c r="AL9" t="s">
        <v>96</v>
      </c>
      <c r="AM9">
        <v>5120</v>
      </c>
      <c r="AN9">
        <v>19.2621</v>
      </c>
      <c r="AO9">
        <v>5120</v>
      </c>
      <c r="AP9">
        <v>0.32167699999999999</v>
      </c>
      <c r="AQ9">
        <v>5094</v>
      </c>
      <c r="AR9" t="s">
        <v>97</v>
      </c>
      <c r="AS9">
        <v>5760</v>
      </c>
      <c r="AT9">
        <v>19.571000000000002</v>
      </c>
      <c r="AU9">
        <v>5760</v>
      </c>
      <c r="AV9">
        <v>0.94584800000000002</v>
      </c>
      <c r="AW9">
        <v>5640</v>
      </c>
      <c r="AX9" t="s">
        <v>98</v>
      </c>
      <c r="AY9">
        <v>6739</v>
      </c>
      <c r="AZ9">
        <v>21.249199999999998</v>
      </c>
      <c r="BA9">
        <v>6739</v>
      </c>
      <c r="BB9">
        <v>0.55061400000000005</v>
      </c>
      <c r="BC9">
        <v>6514</v>
      </c>
      <c r="BD9" t="s">
        <v>99</v>
      </c>
      <c r="BE9">
        <v>10829</v>
      </c>
      <c r="BF9">
        <v>161.67999999999998</v>
      </c>
      <c r="BG9">
        <v>10829</v>
      </c>
      <c r="BH9">
        <v>1.58379</v>
      </c>
      <c r="BI9">
        <v>10754</v>
      </c>
      <c r="BJ9" t="s">
        <v>100</v>
      </c>
      <c r="BK9">
        <v>11913</v>
      </c>
      <c r="BL9">
        <v>173.541</v>
      </c>
      <c r="BM9">
        <v>11913</v>
      </c>
      <c r="BN9">
        <v>2.1188899999999999</v>
      </c>
      <c r="BO9">
        <v>11544</v>
      </c>
      <c r="BP9" t="s">
        <v>101</v>
      </c>
      <c r="BQ9">
        <v>27138</v>
      </c>
      <c r="BR9">
        <v>2854.5099999999998</v>
      </c>
      <c r="BS9">
        <v>27138</v>
      </c>
      <c r="BT9">
        <v>14.155600000000002</v>
      </c>
      <c r="BU9">
        <v>26794</v>
      </c>
    </row>
    <row r="10" ht="14.25">
      <c r="A10"/>
      <c r="B10" t="s">
        <v>102</v>
      </c>
      <c r="C10">
        <v>1291</v>
      </c>
      <c r="D10">
        <v>0.15284599999999998</v>
      </c>
      <c r="E10">
        <v>1291</v>
      </c>
      <c r="F10">
        <v>0.018213999999999998</v>
      </c>
      <c r="G10">
        <v>1230</v>
      </c>
      <c r="H10" t="s">
        <v>103</v>
      </c>
      <c r="I10">
        <v>1647</v>
      </c>
      <c r="J10">
        <v>0.156164</v>
      </c>
      <c r="K10">
        <v>1647</v>
      </c>
      <c r="L10">
        <v>0.020076</v>
      </c>
      <c r="M10">
        <v>1593</v>
      </c>
      <c r="N10" t="s">
        <v>104</v>
      </c>
      <c r="O10">
        <v>2320</v>
      </c>
      <c r="P10">
        <v>0.184451</v>
      </c>
      <c r="Q10">
        <v>2320</v>
      </c>
      <c r="R10">
        <v>0.027481999999999999</v>
      </c>
      <c r="S10">
        <v>2237</v>
      </c>
      <c r="T10" t="s">
        <v>105</v>
      </c>
      <c r="U10">
        <v>2576</v>
      </c>
      <c r="V10">
        <v>2.3841899999999998</v>
      </c>
      <c r="W10">
        <v>2576</v>
      </c>
      <c r="X10">
        <v>0.091947000000000001</v>
      </c>
      <c r="Y10">
        <v>2554</v>
      </c>
      <c r="Z10" t="s">
        <v>106</v>
      </c>
      <c r="AA10">
        <v>3002</v>
      </c>
      <c r="AB10">
        <v>2.6743800000000002</v>
      </c>
      <c r="AC10">
        <v>3002</v>
      </c>
      <c r="AD10">
        <v>0.11074299999999999</v>
      </c>
      <c r="AE10">
        <v>2910</v>
      </c>
      <c r="AF10" t="s">
        <v>107</v>
      </c>
      <c r="AG10">
        <v>3952</v>
      </c>
      <c r="AH10">
        <v>2.7537199999999999</v>
      </c>
      <c r="AI10">
        <v>3952</v>
      </c>
      <c r="AJ10">
        <v>0.15030199999999999</v>
      </c>
      <c r="AK10">
        <v>3772</v>
      </c>
      <c r="AL10" t="s">
        <v>108</v>
      </c>
      <c r="AM10">
        <v>5489</v>
      </c>
      <c r="AN10">
        <v>19.212699999999998</v>
      </c>
      <c r="AO10">
        <v>5489</v>
      </c>
      <c r="AP10">
        <v>0.33509399999999995</v>
      </c>
      <c r="AQ10">
        <v>5448</v>
      </c>
      <c r="AR10" t="s">
        <v>109</v>
      </c>
      <c r="AS10">
        <v>6032</v>
      </c>
      <c r="AT10">
        <v>19.418299999999999</v>
      </c>
      <c r="AU10">
        <v>6032</v>
      </c>
      <c r="AV10">
        <v>0.38753099999999996</v>
      </c>
      <c r="AW10">
        <v>5891</v>
      </c>
      <c r="AX10" t="s">
        <v>110</v>
      </c>
      <c r="AY10">
        <v>6677</v>
      </c>
      <c r="AZ10">
        <v>20.9498</v>
      </c>
      <c r="BA10">
        <v>6677</v>
      </c>
      <c r="BB10">
        <v>0.54207899999999998</v>
      </c>
      <c r="BC10">
        <v>6386</v>
      </c>
      <c r="BD10" t="s">
        <v>111</v>
      </c>
      <c r="BE10">
        <v>10574</v>
      </c>
      <c r="BF10">
        <v>154.93599999999998</v>
      </c>
      <c r="BG10">
        <v>10574</v>
      </c>
      <c r="BH10">
        <v>1.8135399999999999</v>
      </c>
      <c r="BI10">
        <v>10465</v>
      </c>
      <c r="BJ10" t="s">
        <v>112</v>
      </c>
      <c r="BK10">
        <v>11673</v>
      </c>
      <c r="BL10">
        <v>186.09899999999999</v>
      </c>
      <c r="BM10">
        <v>11673</v>
      </c>
      <c r="BN10">
        <v>2.2263299999999999</v>
      </c>
      <c r="BO10">
        <v>11424</v>
      </c>
      <c r="BP10" t="s">
        <v>113</v>
      </c>
      <c r="BQ10">
        <v>26631</v>
      </c>
      <c r="BR10">
        <v>2855.21</v>
      </c>
      <c r="BS10">
        <v>26631</v>
      </c>
      <c r="BT10">
        <v>12.622100000000001</v>
      </c>
      <c r="BU10">
        <v>26241</v>
      </c>
    </row>
    <row r="11" ht="14.25">
      <c r="A11"/>
      <c r="B11" t="s">
        <v>114</v>
      </c>
      <c r="C11">
        <v>1151</v>
      </c>
      <c r="D11">
        <v>0.15367500000000001</v>
      </c>
      <c r="E11">
        <v>1151</v>
      </c>
      <c r="F11">
        <v>0.017677999999999999</v>
      </c>
      <c r="G11">
        <v>1108</v>
      </c>
      <c r="H11" t="s">
        <v>115</v>
      </c>
      <c r="I11">
        <v>1653</v>
      </c>
      <c r="J11">
        <v>0.16054299999999999</v>
      </c>
      <c r="K11">
        <v>1653</v>
      </c>
      <c r="L11">
        <v>0.019867000000000003</v>
      </c>
      <c r="M11">
        <v>1591</v>
      </c>
      <c r="N11" t="s">
        <v>116</v>
      </c>
      <c r="O11">
        <v>2277</v>
      </c>
      <c r="P11">
        <v>0.18508899999999998</v>
      </c>
      <c r="Q11">
        <v>2277</v>
      </c>
      <c r="R11">
        <v>0.027406</v>
      </c>
      <c r="S11">
        <v>2178</v>
      </c>
      <c r="T11" t="s">
        <v>117</v>
      </c>
      <c r="U11">
        <v>2790</v>
      </c>
      <c r="V11">
        <v>2.3966699999999999</v>
      </c>
      <c r="W11">
        <v>2790</v>
      </c>
      <c r="X11">
        <v>0.093459</v>
      </c>
      <c r="Y11">
        <v>2782</v>
      </c>
      <c r="Z11" t="s">
        <v>118</v>
      </c>
      <c r="AA11">
        <v>3257</v>
      </c>
      <c r="AB11">
        <v>2.5275400000000001</v>
      </c>
      <c r="AC11">
        <v>3257</v>
      </c>
      <c r="AD11">
        <v>0.107916</v>
      </c>
      <c r="AE11">
        <v>3100</v>
      </c>
      <c r="AF11" t="s">
        <v>119</v>
      </c>
      <c r="AG11">
        <v>4079</v>
      </c>
      <c r="AH11">
        <v>2.9257799999999996</v>
      </c>
      <c r="AI11">
        <v>4079</v>
      </c>
      <c r="AJ11">
        <v>0.15218600000000002</v>
      </c>
      <c r="AK11">
        <v>3791</v>
      </c>
      <c r="AL11" t="s">
        <v>120</v>
      </c>
      <c r="AM11">
        <v>5341</v>
      </c>
      <c r="AN11">
        <v>19.141400000000001</v>
      </c>
      <c r="AO11">
        <v>5341</v>
      </c>
      <c r="AP11">
        <v>0.32905000000000001</v>
      </c>
      <c r="AQ11">
        <v>5328</v>
      </c>
      <c r="AR11" t="s">
        <v>121</v>
      </c>
      <c r="AS11">
        <v>5918</v>
      </c>
      <c r="AT11">
        <v>20.037300000000002</v>
      </c>
      <c r="AU11">
        <v>5918</v>
      </c>
      <c r="AV11">
        <v>0.383461</v>
      </c>
      <c r="AW11">
        <v>5856</v>
      </c>
      <c r="AX11" t="s">
        <v>122</v>
      </c>
      <c r="AY11">
        <v>6677</v>
      </c>
      <c r="AZ11">
        <v>21.487200000000001</v>
      </c>
      <c r="BA11">
        <v>6677</v>
      </c>
      <c r="BB11">
        <v>0.56258000000000008</v>
      </c>
      <c r="BC11">
        <v>6534</v>
      </c>
      <c r="BD11" t="s">
        <v>123</v>
      </c>
      <c r="BE11">
        <v>10807</v>
      </c>
      <c r="BF11">
        <v>157.81700000000001</v>
      </c>
      <c r="BG11">
        <v>10807</v>
      </c>
      <c r="BH11">
        <v>1.45488</v>
      </c>
      <c r="BI11">
        <v>10727</v>
      </c>
      <c r="BJ11" t="s">
        <v>124</v>
      </c>
      <c r="BK11">
        <v>11869</v>
      </c>
      <c r="BL11">
        <v>174.75700000000001</v>
      </c>
      <c r="BM11">
        <v>11869</v>
      </c>
      <c r="BN11">
        <v>2.16059</v>
      </c>
      <c r="BO11">
        <v>11548</v>
      </c>
      <c r="BP11" t="s">
        <v>125</v>
      </c>
      <c r="BQ11">
        <v>26984</v>
      </c>
      <c r="BR11">
        <v>2884.8800000000001</v>
      </c>
      <c r="BS11">
        <v>26984</v>
      </c>
      <c r="BT11">
        <v>13.888599999999999</v>
      </c>
      <c r="BU11">
        <v>26662</v>
      </c>
    </row>
    <row r="13" ht="14.25">
      <c r="G13" s="2">
        <f>(E2-G2)/G2</f>
        <v>0.0062597809076682318</v>
      </c>
      <c r="H13" s="3"/>
      <c r="I13" s="3"/>
      <c r="J13" s="3"/>
      <c r="K13" s="3"/>
      <c r="L13" s="3"/>
      <c r="M13" s="2">
        <f>(K2-M2)/M2</f>
        <v>0.061946902654867256</v>
      </c>
      <c r="N13" s="3"/>
      <c r="O13" s="3"/>
      <c r="P13" s="3"/>
      <c r="Q13" s="3"/>
      <c r="R13" s="3"/>
      <c r="S13" s="2">
        <f>(Q2-S2)/S2</f>
        <v>0.049194601654331739</v>
      </c>
      <c r="T13" s="3"/>
      <c r="U13" s="3"/>
      <c r="V13" s="3"/>
      <c r="W13" s="3"/>
      <c r="X13" s="3"/>
      <c r="Y13" s="2">
        <f>(W2-Y2)/Y2</f>
        <v>0.0033039647577092512</v>
      </c>
      <c r="Z13" s="3"/>
      <c r="AA13" s="3"/>
      <c r="AB13" s="3"/>
      <c r="AC13" s="3"/>
      <c r="AD13" s="3"/>
      <c r="AE13" s="2">
        <f>(AC2-AE2)/AE2</f>
        <v>0.032268686203490285</v>
      </c>
      <c r="AF13" s="3"/>
      <c r="AG13" s="3"/>
      <c r="AH13" s="3"/>
      <c r="AI13" s="3"/>
      <c r="AJ13" s="3"/>
      <c r="AK13" s="2">
        <f>(AI2-AK2)/AK2</f>
        <v>0.050437467833247554</v>
      </c>
      <c r="AL13" s="3"/>
      <c r="AM13" s="3"/>
      <c r="AN13" s="3"/>
      <c r="AO13" s="3"/>
      <c r="AP13" s="3"/>
      <c r="AQ13" s="2">
        <f>(AO2-AQ2)/AQ2</f>
        <v>0.0047332969233569999</v>
      </c>
      <c r="AR13" s="3"/>
      <c r="AS13" s="3"/>
      <c r="AT13" s="3"/>
      <c r="AU13" s="3"/>
      <c r="AV13" s="3"/>
      <c r="AW13" s="2">
        <f>(AU2-AW2)/AW2</f>
        <v>0.012119113573407203</v>
      </c>
      <c r="AX13" s="3"/>
      <c r="AY13" s="3"/>
      <c r="AZ13" s="3"/>
      <c r="BA13" s="3"/>
      <c r="BB13" s="3"/>
      <c r="BC13" s="2">
        <f>(BA2-BC2)/BC2</f>
        <v>0.033333333333333333</v>
      </c>
      <c r="BD13" s="3"/>
      <c r="BE13" s="3"/>
      <c r="BF13" s="3"/>
      <c r="BG13" s="3"/>
      <c r="BH13" s="3"/>
      <c r="BI13" s="2">
        <f>(BG2-BI2)/BI2</f>
        <v>0.0064385577630610745</v>
      </c>
      <c r="BJ13" s="3"/>
      <c r="BK13" s="3"/>
      <c r="BL13" s="3"/>
      <c r="BM13" s="3"/>
      <c r="BN13" s="3"/>
      <c r="BO13" s="2">
        <f>(BM2-BO2)/BO2</f>
        <v>0.017642412007372949</v>
      </c>
      <c r="BP13" s="3"/>
      <c r="BQ13" s="3"/>
      <c r="BR13" s="3"/>
      <c r="BS13" s="3"/>
      <c r="BT13" s="3"/>
      <c r="BU13" s="2">
        <f>(BS2-BU2)/BU2</f>
        <v>0.013451892384860921</v>
      </c>
    </row>
    <row r="14" ht="14.25">
      <c r="G14" s="2">
        <f>(E3-G3)/G3</f>
        <v>0.0044150110375275938</v>
      </c>
      <c r="H14" s="3"/>
      <c r="I14" s="3"/>
      <c r="J14" s="3"/>
      <c r="K14" s="3"/>
      <c r="L14" s="3"/>
      <c r="M14" s="2">
        <f>(K3-M3)/M3</f>
        <v>0.042194092827004218</v>
      </c>
      <c r="N14" s="3"/>
      <c r="O14" s="3"/>
      <c r="P14" s="3"/>
      <c r="Q14" s="3"/>
      <c r="R14" s="3"/>
      <c r="S14" s="2">
        <f>(Q3-S3)/S3</f>
        <v>0.024297284421152931</v>
      </c>
      <c r="T14" s="3"/>
      <c r="U14" s="3"/>
      <c r="V14" s="3"/>
      <c r="W14" s="3"/>
      <c r="X14" s="3"/>
      <c r="Y14" s="2">
        <f>(W3-Y3)/Y3</f>
        <v>0.0024682651622002822</v>
      </c>
      <c r="Z14" s="3"/>
      <c r="AA14" s="3"/>
      <c r="AB14" s="3"/>
      <c r="AC14" s="3"/>
      <c r="AD14" s="3"/>
      <c r="AE14" s="2">
        <f>(AC3-AE3)/AE3</f>
        <v>0.041566472002748198</v>
      </c>
      <c r="AF14" s="3"/>
      <c r="AG14" s="3"/>
      <c r="AH14" s="3"/>
      <c r="AI14" s="3"/>
      <c r="AJ14" s="3"/>
      <c r="AK14" s="2">
        <f>(AI3-AK3)/AK3</f>
        <v>0.050361639432092153</v>
      </c>
      <c r="AL14" s="3"/>
      <c r="AM14" s="3"/>
      <c r="AN14" s="3"/>
      <c r="AO14" s="3"/>
      <c r="AP14" s="3"/>
      <c r="AQ14" s="2">
        <f>(AO3-AQ3)/AQ3</f>
        <v>0.014031095942358742</v>
      </c>
      <c r="AR14" s="3"/>
      <c r="AS14" s="3"/>
      <c r="AT14" s="3"/>
      <c r="AU14" s="3"/>
      <c r="AV14" s="3"/>
      <c r="AW14" s="2">
        <f>(AU3-AW3)/AW3</f>
        <v>0.016971279373368148</v>
      </c>
      <c r="AX14" s="3"/>
      <c r="AY14" s="3"/>
      <c r="AZ14" s="3"/>
      <c r="BA14" s="3"/>
      <c r="BB14" s="3"/>
      <c r="BC14" s="2">
        <f>(BA3-BC3)/BC3</f>
        <v>0.03212025316455696</v>
      </c>
      <c r="BD14" s="3"/>
      <c r="BE14" s="3"/>
      <c r="BF14" s="3"/>
      <c r="BG14" s="3"/>
      <c r="BH14" s="3"/>
      <c r="BI14" s="2">
        <f>(BG3-BI3)/BI3</f>
        <v>0.02057142857142857</v>
      </c>
      <c r="BJ14" s="3"/>
      <c r="BK14" s="3"/>
      <c r="BL14" s="3"/>
      <c r="BM14" s="3"/>
      <c r="BN14" s="3"/>
      <c r="BO14" s="2">
        <f>(BM3-BO3)/BO3</f>
        <v>0.020096111839231105</v>
      </c>
      <c r="BP14" s="3"/>
      <c r="BQ14" s="3"/>
      <c r="BR14" s="3"/>
      <c r="BS14" s="3"/>
      <c r="BT14" s="3"/>
      <c r="BU14" s="2">
        <f>(BS3-BU3)/BU3</f>
        <v>0.015854067967321969</v>
      </c>
    </row>
    <row r="15" ht="14.25">
      <c r="G15" s="2">
        <f>(E4-G4)/G4</f>
        <v>0.072155411655874191</v>
      </c>
      <c r="H15" s="3"/>
      <c r="I15" s="3"/>
      <c r="J15" s="3"/>
      <c r="K15" s="3"/>
      <c r="L15" s="3"/>
      <c r="M15" s="2">
        <f>(K4-M4)/M4</f>
        <v>0.04077540106951872</v>
      </c>
      <c r="N15" s="3"/>
      <c r="O15" s="3"/>
      <c r="P15" s="3"/>
      <c r="Q15" s="3"/>
      <c r="R15" s="3"/>
      <c r="S15" s="2">
        <f>(Q4-S4)/S4</f>
        <v>0.036543422184006878</v>
      </c>
      <c r="T15" s="3"/>
      <c r="U15" s="3"/>
      <c r="V15" s="3"/>
      <c r="W15" s="3"/>
      <c r="X15" s="3"/>
      <c r="Y15" s="2">
        <f>(W4-Y4)/Y4</f>
        <v>0.0072491415490270892</v>
      </c>
      <c r="Z15" s="3"/>
      <c r="AA15" s="3"/>
      <c r="AB15" s="3"/>
      <c r="AC15" s="3"/>
      <c r="AD15" s="3"/>
      <c r="AE15" s="2">
        <f>(AC4-AE4)/AE4</f>
        <v>0.040055729710902127</v>
      </c>
      <c r="AF15" s="3"/>
      <c r="AG15" s="3"/>
      <c r="AH15" s="3"/>
      <c r="AI15" s="3"/>
      <c r="AJ15" s="3"/>
      <c r="AK15" s="2">
        <f>(AI4-AK4)/AK4</f>
        <v>0.069153280696977945</v>
      </c>
      <c r="AL15" s="3"/>
      <c r="AM15" s="3"/>
      <c r="AN15" s="3"/>
      <c r="AO15" s="3"/>
      <c r="AP15" s="3"/>
      <c r="AQ15" s="2">
        <f>(AO4-AQ4)/AQ4</f>
        <v>0.0085024154589371983</v>
      </c>
      <c r="AR15" s="3"/>
      <c r="AS15" s="3"/>
      <c r="AT15" s="3"/>
      <c r="AU15" s="3"/>
      <c r="AV15" s="3"/>
      <c r="AW15" s="2">
        <f>(AU4-AW4)/AW4</f>
        <v>0.025532664201443917</v>
      </c>
      <c r="AX15" s="3"/>
      <c r="AY15" s="3"/>
      <c r="AZ15" s="3"/>
      <c r="BA15" s="3"/>
      <c r="BB15" s="3"/>
      <c r="BC15" s="2">
        <f>(BA4-BC4)/BC4</f>
        <v>0.043211816467630421</v>
      </c>
      <c r="BD15" s="3"/>
      <c r="BE15" s="3"/>
      <c r="BF15" s="3"/>
      <c r="BG15" s="3"/>
      <c r="BH15" s="3"/>
      <c r="BI15" s="2">
        <f>(BG4-BI4)/BI4</f>
        <v>0.0062979189485213583</v>
      </c>
      <c r="BJ15" s="3"/>
      <c r="BK15" s="3"/>
      <c r="BL15" s="3"/>
      <c r="BM15" s="3"/>
      <c r="BN15" s="3"/>
      <c r="BO15" s="2">
        <f>(BM4-BO4)/BO4</f>
        <v>0.028640860961638603</v>
      </c>
      <c r="BP15" s="3"/>
      <c r="BQ15" s="3"/>
      <c r="BR15" s="3"/>
      <c r="BS15" s="3"/>
      <c r="BT15" s="3"/>
      <c r="BU15" s="2">
        <f>(BS4-BU4)/BU4</f>
        <v>0.0083377150153984819</v>
      </c>
    </row>
    <row r="16" ht="14.25">
      <c r="G16" s="2">
        <f>(E5-G5)/G5</f>
        <v>0.024748646558391339</v>
      </c>
      <c r="H16" s="3"/>
      <c r="I16" s="3"/>
      <c r="J16" s="3"/>
      <c r="K16" s="3"/>
      <c r="L16" s="3"/>
      <c r="M16" s="2">
        <f>(K5-M5)/M5</f>
        <v>0.045025417574437183</v>
      </c>
      <c r="N16" s="3"/>
      <c r="O16" s="3"/>
      <c r="P16" s="3"/>
      <c r="Q16" s="3"/>
      <c r="R16" s="3"/>
      <c r="S16" s="2">
        <f>(Q5-S5)/S5</f>
        <v>0.017543859649122806</v>
      </c>
      <c r="T16" s="3"/>
      <c r="U16" s="3"/>
      <c r="V16" s="3"/>
      <c r="W16" s="3"/>
      <c r="X16" s="3"/>
      <c r="Y16" s="2">
        <f>(W5-Y5)/Y5</f>
        <v>0.011268629589240277</v>
      </c>
      <c r="Z16" s="3"/>
      <c r="AA16" s="3"/>
      <c r="AB16" s="3"/>
      <c r="AC16" s="3"/>
      <c r="AD16" s="3"/>
      <c r="AE16" s="2">
        <f>(AC5-AE5)/AE5</f>
        <v>0.042712748614281058</v>
      </c>
      <c r="AF16" s="3"/>
      <c r="AG16" s="3"/>
      <c r="AH16" s="3"/>
      <c r="AI16" s="3"/>
      <c r="AJ16" s="3"/>
      <c r="AK16" s="2">
        <f>(AI5-AK5)/AK5</f>
        <v>0.056990679094540614</v>
      </c>
      <c r="AL16" s="3"/>
      <c r="AM16" s="3"/>
      <c r="AN16" s="3"/>
      <c r="AO16" s="3"/>
      <c r="AP16" s="3"/>
      <c r="AQ16" s="2">
        <f>(AO5-AQ5)/AQ5</f>
        <v>0.00099641291351135913</v>
      </c>
      <c r="AR16" s="3"/>
      <c r="AS16" s="3"/>
      <c r="AT16" s="3"/>
      <c r="AU16" s="3"/>
      <c r="AV16" s="3"/>
      <c r="AW16" s="2">
        <f>(AU5-AW5)/AW5</f>
        <v>0.018728522336769759</v>
      </c>
      <c r="AX16" s="3"/>
      <c r="AY16" s="3"/>
      <c r="AZ16" s="3"/>
      <c r="BA16" s="3"/>
      <c r="BB16" s="3"/>
      <c r="BC16" s="2">
        <f>(BA5-BC5)/BC5</f>
        <v>0.035697362186068553</v>
      </c>
      <c r="BD16" s="3"/>
      <c r="BE16" s="3"/>
      <c r="BF16" s="3"/>
      <c r="BG16" s="3"/>
      <c r="BH16" s="3"/>
      <c r="BI16" s="2">
        <f>(BG5-BI5)/BI5</f>
        <v>0.015055540255209767</v>
      </c>
      <c r="BJ16" s="3"/>
      <c r="BK16" s="3"/>
      <c r="BL16" s="3"/>
      <c r="BM16" s="3"/>
      <c r="BN16" s="3"/>
      <c r="BO16" s="2">
        <f>(BM5-BO5)/BO5</f>
        <v>0.029840328069103916</v>
      </c>
      <c r="BP16" s="3"/>
      <c r="BQ16" s="3"/>
      <c r="BR16" s="3"/>
      <c r="BS16" s="3"/>
      <c r="BT16" s="3"/>
      <c r="BU16" s="2">
        <f>(BS5-BU5)/BU5</f>
        <v>0.015501839201261167</v>
      </c>
    </row>
    <row r="17" ht="14.25">
      <c r="G17" s="2">
        <f>(E6-G6)/G6</f>
        <v>0.056680161943319839</v>
      </c>
      <c r="H17" s="3"/>
      <c r="I17" s="3"/>
      <c r="J17" s="3"/>
      <c r="K17" s="3"/>
      <c r="L17" s="3"/>
      <c r="M17" s="2">
        <f>(K6-M6)/M6</f>
        <v>0.058491895701198025</v>
      </c>
      <c r="N17" s="3"/>
      <c r="O17" s="3"/>
      <c r="P17" s="3"/>
      <c r="Q17" s="3"/>
      <c r="R17" s="3"/>
      <c r="S17" s="2">
        <f>(Q6-S6)/S6</f>
        <v>0.046268005237887384</v>
      </c>
      <c r="T17" s="3"/>
      <c r="U17" s="3"/>
      <c r="V17" s="3"/>
      <c r="W17" s="3"/>
      <c r="X17" s="3"/>
      <c r="Y17" s="2">
        <f>(W6-Y6)/Y6</f>
        <v>0.0017464198393293748</v>
      </c>
      <c r="Z17" s="3"/>
      <c r="AA17" s="3"/>
      <c r="AB17" s="3"/>
      <c r="AC17" s="3"/>
      <c r="AD17" s="3"/>
      <c r="AE17" s="2">
        <f>(AC6-AE6)/AE6</f>
        <v>0.049485220856858185</v>
      </c>
      <c r="AF17" s="3"/>
      <c r="AG17" s="3"/>
      <c r="AH17" s="3"/>
      <c r="AI17" s="3"/>
      <c r="AJ17" s="3"/>
      <c r="AK17" s="2">
        <f>(AI6-AK6)/AK6</f>
        <v>0.051260964912280702</v>
      </c>
      <c r="AL17" s="3"/>
      <c r="AM17" s="3"/>
      <c r="AN17" s="3"/>
      <c r="AO17" s="3"/>
      <c r="AP17" s="3"/>
      <c r="AQ17" s="2">
        <f>(AO6-AQ6)/AQ6</f>
        <v>0.0030476190476190477</v>
      </c>
      <c r="AR17" s="3"/>
      <c r="AS17" s="3"/>
      <c r="AT17" s="3"/>
      <c r="AU17" s="3"/>
      <c r="AV17" s="3"/>
      <c r="AW17" s="2">
        <f>(AU6-AW6)/AW6</f>
        <v>0.034237843744308868</v>
      </c>
      <c r="AX17" s="3"/>
      <c r="AY17" s="3"/>
      <c r="AZ17" s="3"/>
      <c r="BA17" s="3"/>
      <c r="BB17" s="3"/>
      <c r="BC17" s="2">
        <f>(BA6-BC6)/BC6</f>
        <v>0.045277127244340361</v>
      </c>
      <c r="BD17" s="3"/>
      <c r="BE17" s="3"/>
      <c r="BF17" s="3"/>
      <c r="BG17" s="3"/>
      <c r="BH17" s="3"/>
      <c r="BI17" s="2">
        <f>(BG6-BI6)/BI6</f>
        <v>0.010249596659390719</v>
      </c>
      <c r="BJ17" s="3"/>
      <c r="BK17" s="3"/>
      <c r="BL17" s="3"/>
      <c r="BM17" s="3"/>
      <c r="BN17" s="3"/>
      <c r="BO17" s="2">
        <f>(BM6-BO6)/BO6</f>
        <v>0.022578104489367288</v>
      </c>
      <c r="BP17" s="3"/>
      <c r="BQ17" s="3"/>
      <c r="BR17" s="3"/>
      <c r="BS17" s="3"/>
      <c r="BT17" s="3"/>
      <c r="BU17" s="2">
        <f>(BS6-BU6)/BU6</f>
        <v>0.0082236221660568105</v>
      </c>
    </row>
    <row r="18" ht="14.25">
      <c r="G18" s="2">
        <f>(E7-G7)/G7</f>
        <v>0.027615062761506277</v>
      </c>
      <c r="H18" s="3"/>
      <c r="I18" s="3"/>
      <c r="J18" s="3"/>
      <c r="K18" s="3"/>
      <c r="L18" s="3"/>
      <c r="M18" s="2">
        <f>(K7-M7)/M7</f>
        <v>0.040085898353614889</v>
      </c>
      <c r="N18" s="3"/>
      <c r="O18" s="3"/>
      <c r="P18" s="3"/>
      <c r="Q18" s="3"/>
      <c r="R18" s="3"/>
      <c r="S18" s="2">
        <f>(Q7-S7)/S7</f>
        <v>0.055256064690026953</v>
      </c>
      <c r="T18" s="3"/>
      <c r="U18" s="3"/>
      <c r="V18" s="3"/>
      <c r="W18" s="3"/>
      <c r="X18" s="3"/>
      <c r="Y18" s="2">
        <f>(W7-Y7)/Y7</f>
        <v>0.007423117709437964</v>
      </c>
      <c r="Z18" s="3"/>
      <c r="AA18" s="3"/>
      <c r="AB18" s="3"/>
      <c r="AC18" s="3"/>
      <c r="AD18" s="3"/>
      <c r="AE18" s="2">
        <f>(AC7-AE7)/AE7</f>
        <v>0.05196954650777888</v>
      </c>
      <c r="AF18" s="3"/>
      <c r="AG18" s="3"/>
      <c r="AH18" s="3"/>
      <c r="AI18" s="3"/>
      <c r="AJ18" s="3"/>
      <c r="AK18" s="2">
        <f>(AI7-AK7)/AK7</f>
        <v>0.052433449852110785</v>
      </c>
      <c r="AL18" s="3"/>
      <c r="AM18" s="3"/>
      <c r="AN18" s="3"/>
      <c r="AO18" s="3"/>
      <c r="AP18" s="3"/>
      <c r="AQ18" s="2">
        <f>(AO7-AQ7)/AQ7</f>
        <v>0.00077896786757546252</v>
      </c>
      <c r="AR18" s="3"/>
      <c r="AS18" s="3"/>
      <c r="AT18" s="3"/>
      <c r="AU18" s="3"/>
      <c r="AV18" s="3"/>
      <c r="AW18" s="2">
        <f>(AU7-AW7)/AW7</f>
        <v>0.013577220441259665</v>
      </c>
      <c r="AX18" s="3"/>
      <c r="AY18" s="3"/>
      <c r="AZ18" s="3"/>
      <c r="BA18" s="3"/>
      <c r="BB18" s="3"/>
      <c r="BC18" s="2">
        <f>(BA7-BC7)/BC7</f>
        <v>0.027285339910590411</v>
      </c>
      <c r="BD18" s="3"/>
      <c r="BE18" s="3"/>
      <c r="BF18" s="3"/>
      <c r="BG18" s="3"/>
      <c r="BH18" s="3"/>
      <c r="BI18" s="2">
        <f>(BG7-BI7)/BI7</f>
        <v>0.01072774717309365</v>
      </c>
      <c r="BJ18" s="3"/>
      <c r="BK18" s="3"/>
      <c r="BL18" s="3"/>
      <c r="BM18" s="3"/>
      <c r="BN18" s="3"/>
      <c r="BO18" s="2">
        <f>(BM7-BO7)/BO7</f>
        <v>0.022959183673469389</v>
      </c>
      <c r="BP18" s="3"/>
      <c r="BQ18" s="3"/>
      <c r="BR18" s="3"/>
      <c r="BS18" s="3"/>
      <c r="BT18" s="3"/>
      <c r="BU18" s="2">
        <f>(BS7-BU7)/BU7</f>
        <v>0.012681023486155924</v>
      </c>
    </row>
    <row r="19" ht="14.25">
      <c r="G19" s="2">
        <f>(E8-G8)/G8</f>
        <v>0.031476997578692496</v>
      </c>
      <c r="H19" s="3"/>
      <c r="I19" s="3"/>
      <c r="J19" s="3"/>
      <c r="K19" s="3"/>
      <c r="L19" s="3"/>
      <c r="M19" s="2">
        <f>(K8-M8)/M8</f>
        <v>0.052560646900269542</v>
      </c>
      <c r="N19" s="3"/>
      <c r="O19" s="3"/>
      <c r="P19" s="3"/>
      <c r="Q19" s="3"/>
      <c r="R19" s="3"/>
      <c r="S19" s="2">
        <f>(Q8-S8)/S8</f>
        <v>0.03915530136383634</v>
      </c>
      <c r="T19" s="3"/>
      <c r="U19" s="3"/>
      <c r="V19" s="3"/>
      <c r="W19" s="3"/>
      <c r="X19" s="3"/>
      <c r="Y19" s="2">
        <f>(W8-Y8)/Y8</f>
        <v>0.012110091743119266</v>
      </c>
      <c r="Z19" s="3"/>
      <c r="AA19" s="3"/>
      <c r="AB19" s="3"/>
      <c r="AC19" s="3"/>
      <c r="AD19" s="3"/>
      <c r="AE19" s="2">
        <f>(AC8-AE8)/AE8</f>
        <v>0.048975672215108831</v>
      </c>
      <c r="AF19" s="3"/>
      <c r="AG19" s="3"/>
      <c r="AH19" s="3"/>
      <c r="AI19" s="3"/>
      <c r="AJ19" s="3"/>
      <c r="AK19" s="2">
        <f>(AI8-AK8)/AK8</f>
        <v>0.059517426273458442</v>
      </c>
      <c r="AL19" s="3"/>
      <c r="AM19" s="3"/>
      <c r="AN19" s="3"/>
      <c r="AO19" s="3"/>
      <c r="AP19" s="3"/>
      <c r="AQ19" s="2">
        <f>(AO8-AQ8)/AQ8</f>
        <v>0.0022870211549456832</v>
      </c>
      <c r="AR19" s="3"/>
      <c r="AS19" s="3"/>
      <c r="AT19" s="3"/>
      <c r="AU19" s="3"/>
      <c r="AV19" s="3"/>
      <c r="AW19" s="2">
        <f>(AU8-AW8)/AW8</f>
        <v>0.018571428571428572</v>
      </c>
      <c r="AX19" s="3"/>
      <c r="AY19" s="3"/>
      <c r="AZ19" s="3"/>
      <c r="BA19" s="3"/>
      <c r="BB19" s="3"/>
      <c r="BC19" s="2">
        <f>(BA8-BC8)/BC8</f>
        <v>0.039661388932434552</v>
      </c>
      <c r="BD19" s="3"/>
      <c r="BE19" s="3"/>
      <c r="BF19" s="3"/>
      <c r="BG19" s="3"/>
      <c r="BH19" s="3"/>
      <c r="BI19" s="2">
        <f>(BG8-BI8)/BI8</f>
        <v>0.0098327513324756484</v>
      </c>
      <c r="BJ19" s="3"/>
      <c r="BK19" s="3"/>
      <c r="BL19" s="3"/>
      <c r="BM19" s="3"/>
      <c r="BN19" s="3"/>
      <c r="BO19" s="2">
        <f>(BM8-BO8)/BO8</f>
        <v>0.025745492371705963</v>
      </c>
      <c r="BP19" s="3"/>
      <c r="BQ19" s="3"/>
      <c r="BR19" s="3"/>
      <c r="BS19" s="3"/>
      <c r="BT19" s="3"/>
      <c r="BU19" s="2">
        <f>(BS8-BU8)/BU8</f>
        <v>0.0083537158984007525</v>
      </c>
    </row>
    <row r="20" ht="14.25">
      <c r="G20" s="2">
        <f>(E9-G9)/G9</f>
        <v>0.014096185737976783</v>
      </c>
      <c r="H20" s="3"/>
      <c r="I20" s="3"/>
      <c r="J20" s="3"/>
      <c r="K20" s="3"/>
      <c r="L20" s="3"/>
      <c r="M20" s="2">
        <f>(K9-M9)/M9</f>
        <v>0.046163849154746424</v>
      </c>
      <c r="N20" s="3"/>
      <c r="O20" s="3"/>
      <c r="P20" s="3"/>
      <c r="Q20" s="3"/>
      <c r="R20" s="3"/>
      <c r="S20" s="2">
        <f>(Q9-S9)/S9</f>
        <v>0.022272727272727274</v>
      </c>
      <c r="T20" s="3"/>
      <c r="U20" s="3"/>
      <c r="V20" s="3"/>
      <c r="W20" s="3"/>
      <c r="X20" s="3"/>
      <c r="Y20" s="2">
        <f>(W9-Y9)/Y9</f>
        <v>0.014163250093179277</v>
      </c>
      <c r="Z20" s="3"/>
      <c r="AA20" s="3"/>
      <c r="AB20" s="3"/>
      <c r="AC20" s="3"/>
      <c r="AD20" s="3"/>
      <c r="AE20" s="2">
        <f>(AC9-AE9)/AE9</f>
        <v>0.024606299212598427</v>
      </c>
      <c r="AF20" s="3"/>
      <c r="AG20" s="3"/>
      <c r="AH20" s="3"/>
      <c r="AI20" s="3"/>
      <c r="AJ20" s="3"/>
      <c r="AK20" s="2">
        <f>(AI9-AK9)/AK9</f>
        <v>0.053786459727053787</v>
      </c>
      <c r="AL20" s="3"/>
      <c r="AM20" s="3"/>
      <c r="AN20" s="3"/>
      <c r="AO20" s="3"/>
      <c r="AP20" s="3"/>
      <c r="AQ20" s="2">
        <f>(AO9-AQ9)/AQ9</f>
        <v>0.0051040439733019242</v>
      </c>
      <c r="AR20" s="3"/>
      <c r="AS20" s="3"/>
      <c r="AT20" s="3"/>
      <c r="AU20" s="3"/>
      <c r="AV20" s="3"/>
      <c r="AW20" s="2">
        <f>(AU9-AW9)/AW9</f>
        <v>0.021276595744680851</v>
      </c>
      <c r="AX20" s="3"/>
      <c r="AY20" s="3"/>
      <c r="AZ20" s="3"/>
      <c r="BA20" s="3"/>
      <c r="BB20" s="3"/>
      <c r="BC20" s="2">
        <f>(BA9-BC9)/BC9</f>
        <v>0.034540988639852624</v>
      </c>
      <c r="BD20" s="3"/>
      <c r="BE20" s="3"/>
      <c r="BF20" s="3"/>
      <c r="BG20" s="3"/>
      <c r="BH20" s="3"/>
      <c r="BI20" s="2">
        <f>(BG9-BI9)/BI9</f>
        <v>0.0069741491538032356</v>
      </c>
      <c r="BJ20" s="3"/>
      <c r="BK20" s="3"/>
      <c r="BL20" s="3"/>
      <c r="BM20" s="3"/>
      <c r="BN20" s="3"/>
      <c r="BO20" s="2">
        <f>(BM9-BO9)/BO9</f>
        <v>0.031964656964656966</v>
      </c>
      <c r="BP20" s="3"/>
      <c r="BQ20" s="3"/>
      <c r="BR20" s="3"/>
      <c r="BS20" s="3"/>
      <c r="BT20" s="3"/>
      <c r="BU20" s="2">
        <f>(BS9-BU9)/BU9</f>
        <v>0.012838695230275435</v>
      </c>
    </row>
    <row r="21" ht="14.25">
      <c r="G21" s="2">
        <f>(E10-G10)/G10</f>
        <v>0.049593495934959347</v>
      </c>
      <c r="H21" s="3"/>
      <c r="I21" s="3"/>
      <c r="J21" s="3"/>
      <c r="K21" s="3"/>
      <c r="L21" s="3"/>
      <c r="M21" s="2">
        <f>(K10-M10)/M10</f>
        <v>0.033898305084745763</v>
      </c>
      <c r="N21" s="3"/>
      <c r="O21" s="3"/>
      <c r="P21" s="3"/>
      <c r="Q21" s="3"/>
      <c r="R21" s="3"/>
      <c r="S21" s="2">
        <f>(Q10-S10)/S10</f>
        <v>0.037103263299061245</v>
      </c>
      <c r="T21" s="3"/>
      <c r="U21" s="3"/>
      <c r="V21" s="3"/>
      <c r="W21" s="3"/>
      <c r="X21" s="3"/>
      <c r="Y21" s="2">
        <f>(W10-Y10)/Y10</f>
        <v>0.0086139389193422081</v>
      </c>
      <c r="Z21" s="3"/>
      <c r="AA21" s="3"/>
      <c r="AB21" s="3"/>
      <c r="AC21" s="3"/>
      <c r="AD21" s="3"/>
      <c r="AE21" s="2">
        <f>(AC10-AE10)/AE10</f>
        <v>0.031615120274914088</v>
      </c>
      <c r="AF21" s="3"/>
      <c r="AG21" s="3"/>
      <c r="AH21" s="3"/>
      <c r="AI21" s="3"/>
      <c r="AJ21" s="3"/>
      <c r="AK21" s="2">
        <f>(AI10-AK10)/AK10</f>
        <v>0.047720042417815481</v>
      </c>
      <c r="AL21" s="3"/>
      <c r="AM21" s="3"/>
      <c r="AN21" s="3"/>
      <c r="AO21" s="3"/>
      <c r="AP21" s="3"/>
      <c r="AQ21" s="2">
        <f>(AO10-AQ10)/AQ10</f>
        <v>0.0075256975036710723</v>
      </c>
      <c r="AR21" s="3"/>
      <c r="AS21" s="3"/>
      <c r="AT21" s="3"/>
      <c r="AU21" s="3"/>
      <c r="AV21" s="3"/>
      <c r="AW21" s="2">
        <f>(AU10-AW10)/AW10</f>
        <v>0.023934815820743506</v>
      </c>
      <c r="AX21" s="3"/>
      <c r="AY21" s="3"/>
      <c r="AZ21" s="3"/>
      <c r="BA21" s="3"/>
      <c r="BB21" s="3"/>
      <c r="BC21" s="2">
        <f>(BA10-BC10)/BC10</f>
        <v>0.04556843094268713</v>
      </c>
      <c r="BD21" s="3"/>
      <c r="BE21" s="3"/>
      <c r="BF21" s="3"/>
      <c r="BG21" s="3"/>
      <c r="BH21" s="3"/>
      <c r="BI21" s="2">
        <f>(BG10-BI10)/BI10</f>
        <v>0.010415671285236502</v>
      </c>
      <c r="BJ21" s="3"/>
      <c r="BK21" s="3"/>
      <c r="BL21" s="3"/>
      <c r="BM21" s="3"/>
      <c r="BN21" s="3"/>
      <c r="BO21" s="2">
        <f>(BM10-BO10)/BO10</f>
        <v>0.021796218487394957</v>
      </c>
      <c r="BP21" s="3"/>
      <c r="BQ21" s="3"/>
      <c r="BR21" s="3"/>
      <c r="BS21" s="3"/>
      <c r="BT21" s="3"/>
      <c r="BU21" s="2">
        <f>(BS10-BU10)/BU10</f>
        <v>0.014862238481765176</v>
      </c>
    </row>
    <row r="22" ht="14.25">
      <c r="G22" s="2">
        <f>(E11-G11)/G11</f>
        <v>0.038808664259927801</v>
      </c>
      <c r="H22" s="3"/>
      <c r="I22" s="3"/>
      <c r="J22" s="3"/>
      <c r="K22" s="3"/>
      <c r="L22" s="3"/>
      <c r="M22" s="2">
        <f>(K11-M11)/M11</f>
        <v>0.038969201759899437</v>
      </c>
      <c r="N22" s="3"/>
      <c r="O22" s="3"/>
      <c r="P22" s="3"/>
      <c r="Q22" s="3"/>
      <c r="R22" s="3"/>
      <c r="S22" s="2">
        <f>(Q11-S11)/S11</f>
        <v>0.045454545454545456</v>
      </c>
      <c r="T22" s="3"/>
      <c r="U22" s="3"/>
      <c r="V22" s="3"/>
      <c r="W22" s="3"/>
      <c r="X22" s="3"/>
      <c r="Y22" s="2">
        <f>(W11-Y11)/Y11</f>
        <v>0.002875629043853343</v>
      </c>
      <c r="Z22" s="3"/>
      <c r="AA22" s="3"/>
      <c r="AB22" s="3"/>
      <c r="AC22" s="3"/>
      <c r="AD22" s="3"/>
      <c r="AE22" s="2">
        <f>(AC11-AE11)/AE11</f>
        <v>0.05064516129032258</v>
      </c>
      <c r="AF22" s="3"/>
      <c r="AG22" s="3"/>
      <c r="AH22" s="3"/>
      <c r="AI22" s="3"/>
      <c r="AJ22" s="3"/>
      <c r="AK22" s="2">
        <f>(AI11-AK11)/AK11</f>
        <v>0.075969401213400164</v>
      </c>
      <c r="AL22" s="3"/>
      <c r="AM22" s="3"/>
      <c r="AN22" s="3"/>
      <c r="AO22" s="3"/>
      <c r="AP22" s="3"/>
      <c r="AQ22" s="2">
        <f>(AO11-AQ11)/AQ11</f>
        <v>0.00243993993993994</v>
      </c>
      <c r="AR22" s="3"/>
      <c r="AS22" s="3"/>
      <c r="AT22" s="3"/>
      <c r="AU22" s="3"/>
      <c r="AV22" s="3"/>
      <c r="AW22" s="2">
        <f>(AU11-AW11)/AW11</f>
        <v>0.010587431693989071</v>
      </c>
      <c r="AX22" s="3"/>
      <c r="AY22" s="3"/>
      <c r="AZ22" s="3"/>
      <c r="BA22" s="3"/>
      <c r="BB22" s="3"/>
      <c r="BC22" s="2">
        <f>(BA11-BC11)/BC11</f>
        <v>0.021885521885521887</v>
      </c>
      <c r="BD22" s="3"/>
      <c r="BE22" s="3"/>
      <c r="BF22" s="3"/>
      <c r="BG22" s="3"/>
      <c r="BH22" s="3"/>
      <c r="BI22" s="2">
        <f>(BG11-BI11)/BI11</f>
        <v>0.007457816724154004</v>
      </c>
      <c r="BJ22" s="3"/>
      <c r="BK22" s="3"/>
      <c r="BL22" s="3"/>
      <c r="BM22" s="3"/>
      <c r="BN22" s="3"/>
      <c r="BO22" s="2">
        <f>(BM11-BO11)/BO11</f>
        <v>0.027797021129199861</v>
      </c>
      <c r="BP22" s="3"/>
      <c r="BQ22" s="3"/>
      <c r="BR22" s="3"/>
      <c r="BS22" s="3"/>
      <c r="BT22" s="3"/>
      <c r="BU22" s="2">
        <f>(BS11-BU11)/BU11</f>
        <v>0.0120771134948616</v>
      </c>
    </row>
    <row r="23" ht="14.25">
      <c r="F23" t="s">
        <v>126</v>
      </c>
      <c r="G23" s="2">
        <f>AVERAGE(G13:G22)</f>
        <v>0.03258494183758439</v>
      </c>
      <c r="H23" s="3"/>
      <c r="I23" s="3"/>
      <c r="J23" s="3"/>
      <c r="K23" s="3"/>
      <c r="L23" t="s">
        <v>126</v>
      </c>
      <c r="M23" s="2">
        <f>AVERAGE(M13:M22)</f>
        <v>0.046011161108030142</v>
      </c>
      <c r="N23" s="3"/>
      <c r="O23" s="3"/>
      <c r="P23" s="3"/>
      <c r="Q23" s="3"/>
      <c r="R23" t="s">
        <v>126</v>
      </c>
      <c r="S23" s="2">
        <f>AVERAGE(S13:S22)</f>
        <v>0.037308907522669903</v>
      </c>
      <c r="T23" s="3"/>
      <c r="U23" s="3"/>
      <c r="V23" s="3"/>
      <c r="W23" s="3"/>
      <c r="X23" t="s">
        <v>126</v>
      </c>
      <c r="Y23" s="2">
        <f>AVERAGE(Y13:Y22)</f>
        <v>0.0071222448406438339</v>
      </c>
      <c r="Z23" s="3"/>
      <c r="AA23" s="3"/>
      <c r="AB23" s="3"/>
      <c r="AC23" s="3"/>
      <c r="AD23" t="s">
        <v>126</v>
      </c>
      <c r="AE23" s="2">
        <f>AVERAGE(AE13:AE22)</f>
        <v>0.041390065688900267</v>
      </c>
      <c r="AF23" s="3"/>
      <c r="AG23" s="3"/>
      <c r="AH23" s="3"/>
      <c r="AI23" s="3"/>
      <c r="AJ23" t="s">
        <v>126</v>
      </c>
      <c r="AK23" s="2">
        <f>AVERAGE(AK13:AK22)</f>
        <v>0.056763081145297753</v>
      </c>
      <c r="AL23" s="3"/>
      <c r="AM23" s="3"/>
      <c r="AN23" s="3"/>
      <c r="AO23" s="3"/>
      <c r="AP23" t="s">
        <v>126</v>
      </c>
      <c r="AQ23" s="2">
        <f>AVERAGE(AQ13:AQ22)</f>
        <v>0.0049446510725217434</v>
      </c>
      <c r="AR23" s="3"/>
      <c r="AS23" s="3"/>
      <c r="AT23" s="3"/>
      <c r="AU23" s="3"/>
      <c r="AV23" t="s">
        <v>126</v>
      </c>
      <c r="AW23" s="2">
        <f>AVERAGE(AW13:AW22)</f>
        <v>0.019553691550139956</v>
      </c>
      <c r="AX23" s="3"/>
      <c r="AY23" s="3"/>
      <c r="AZ23" s="3"/>
      <c r="BA23" s="3"/>
      <c r="BB23" t="s">
        <v>126</v>
      </c>
      <c r="BC23" s="2">
        <f>AVERAGE(BC13:BC22)</f>
        <v>0.035858156270701623</v>
      </c>
      <c r="BD23" s="3"/>
      <c r="BE23" s="3"/>
      <c r="BF23" s="3"/>
      <c r="BG23" s="3"/>
      <c r="BH23" t="s">
        <v>126</v>
      </c>
      <c r="BI23" s="2">
        <f>AVERAGE(BI13:BI22)</f>
        <v>0.010402117786637452</v>
      </c>
      <c r="BJ23" s="3"/>
      <c r="BK23" s="3"/>
      <c r="BL23" s="3"/>
      <c r="BM23" s="3"/>
      <c r="BN23" t="s">
        <v>126</v>
      </c>
      <c r="BO23" s="2">
        <f>AVERAGE(BO13:BO22)</f>
        <v>0.024906038999314099</v>
      </c>
      <c r="BP23" s="3"/>
      <c r="BQ23" s="3"/>
      <c r="BR23" s="3"/>
      <c r="BS23" s="3"/>
      <c r="BT23" t="s">
        <v>126</v>
      </c>
      <c r="BU23" s="2">
        <f>AVERAGE(BU13:BU22)</f>
        <v>0.012218192332635821</v>
      </c>
    </row>
    <row r="24" ht="14.25">
      <c r="F24" t="s">
        <v>127</v>
      </c>
      <c r="G24" s="2">
        <f>MEDIAN(G13:G22)</f>
        <v>0.029546030170099387</v>
      </c>
      <c r="H24" s="3"/>
      <c r="I24" s="3"/>
      <c r="J24" s="3"/>
      <c r="K24" s="3"/>
      <c r="L24" t="s">
        <v>127</v>
      </c>
      <c r="M24" s="2">
        <f>MEDIAN(M13:M22)</f>
        <v>0.043609755200720704</v>
      </c>
      <c r="N24" s="3"/>
      <c r="O24" s="3"/>
      <c r="P24" s="3"/>
      <c r="Q24" s="3"/>
      <c r="R24" t="s">
        <v>127</v>
      </c>
      <c r="S24" s="2">
        <f>MEDIAN(S13:S22)</f>
        <v>0.038129282331448792</v>
      </c>
      <c r="T24" s="3"/>
      <c r="U24" s="3"/>
      <c r="V24" s="3"/>
      <c r="W24" s="3"/>
      <c r="X24" t="s">
        <v>127</v>
      </c>
      <c r="Y24" s="2">
        <f>MEDIAN(Y13:Y22)</f>
        <v>0.0073361296292325266</v>
      </c>
      <c r="Z24" s="3"/>
      <c r="AA24" s="3"/>
      <c r="AB24" s="3"/>
      <c r="AC24" s="3"/>
      <c r="AD24" t="s">
        <v>127</v>
      </c>
      <c r="AE24" s="2">
        <f>MEDIAN(AE13:AE22)</f>
        <v>0.042139610308514625</v>
      </c>
      <c r="AF24" s="3"/>
      <c r="AG24" s="3"/>
      <c r="AH24" s="3"/>
      <c r="AI24" s="3"/>
      <c r="AJ24" t="s">
        <v>127</v>
      </c>
      <c r="AK24" s="2">
        <f>MEDIAN(AK13:AK22)</f>
        <v>0.053109954789582289</v>
      </c>
      <c r="AL24" s="3"/>
      <c r="AM24" s="3"/>
      <c r="AN24" s="3"/>
      <c r="AO24" s="3"/>
      <c r="AP24" t="s">
        <v>127</v>
      </c>
      <c r="AQ24" s="2">
        <f>MEDIAN(AQ13:AQ22)</f>
        <v>0.0038904579854880236</v>
      </c>
      <c r="AR24" s="3"/>
      <c r="AS24" s="3"/>
      <c r="AT24" s="3"/>
      <c r="AU24" s="3"/>
      <c r="AV24" t="s">
        <v>127</v>
      </c>
      <c r="AW24" s="2">
        <f>MEDIAN(AW13:AW22)</f>
        <v>0.018649975454099167</v>
      </c>
      <c r="AX24" s="3"/>
      <c r="AY24" s="3"/>
      <c r="AZ24" s="3"/>
      <c r="BA24" s="3"/>
      <c r="BB24" t="s">
        <v>127</v>
      </c>
      <c r="BC24" s="2">
        <f>MEDIAN(BC13:BC22)</f>
        <v>0.035119175412960585</v>
      </c>
      <c r="BD24" s="3"/>
      <c r="BE24" s="3"/>
      <c r="BF24" s="3"/>
      <c r="BG24" s="3"/>
      <c r="BH24" t="s">
        <v>127</v>
      </c>
      <c r="BI24" s="2">
        <f>MEDIAN(BI13:BI22)</f>
        <v>0.010041173995933184</v>
      </c>
      <c r="BJ24" s="3"/>
      <c r="BK24" s="3"/>
      <c r="BL24" s="3"/>
      <c r="BM24" s="3"/>
      <c r="BN24" t="s">
        <v>127</v>
      </c>
      <c r="BO24" s="2">
        <f>MEDIAN(BO13:BO22)</f>
        <v>0.024352338022587676</v>
      </c>
      <c r="BP24" s="3"/>
      <c r="BQ24" s="3"/>
      <c r="BR24" s="3"/>
      <c r="BS24" s="3"/>
      <c r="BT24" t="s">
        <v>127</v>
      </c>
      <c r="BU24" s="2">
        <f>MEDIAN(BU13:BU22)</f>
        <v>0.012759859358215679</v>
      </c>
    </row>
    <row r="25" ht="14.25">
      <c r="B25" s="4" t="s">
        <v>128</v>
      </c>
      <c r="C25" s="3" t="s">
        <v>126</v>
      </c>
      <c r="D25" s="3" t="s">
        <v>127</v>
      </c>
      <c r="E25" s="3" t="s">
        <v>129</v>
      </c>
      <c r="F25" s="3" t="s">
        <v>130</v>
      </c>
      <c r="G25" s="3"/>
      <c r="H25" s="3" t="s">
        <v>131</v>
      </c>
      <c r="I25" s="3" t="s">
        <v>126</v>
      </c>
      <c r="J25" s="3" t="s">
        <v>127</v>
      </c>
      <c r="K25" s="3" t="s">
        <v>129</v>
      </c>
      <c r="L25" s="3" t="s">
        <v>130</v>
      </c>
      <c r="M25" s="3"/>
      <c r="N25" s="3" t="s">
        <v>131</v>
      </c>
      <c r="O25" s="3" t="s">
        <v>126</v>
      </c>
      <c r="P25" s="3" t="s">
        <v>127</v>
      </c>
      <c r="Q25" s="3" t="s">
        <v>129</v>
      </c>
      <c r="R25" s="3" t="s">
        <v>130</v>
      </c>
      <c r="S25" s="3"/>
      <c r="T25" s="3" t="s">
        <v>131</v>
      </c>
      <c r="U25" s="3" t="s">
        <v>126</v>
      </c>
      <c r="V25" s="3" t="s">
        <v>127</v>
      </c>
      <c r="W25" s="3" t="s">
        <v>129</v>
      </c>
      <c r="X25" s="3" t="s">
        <v>130</v>
      </c>
      <c r="Y25" s="3"/>
      <c r="Z25" s="3" t="s">
        <v>131</v>
      </c>
      <c r="AA25" s="3" t="s">
        <v>126</v>
      </c>
      <c r="AB25" s="3" t="s">
        <v>127</v>
      </c>
      <c r="AC25" s="3" t="s">
        <v>129</v>
      </c>
      <c r="AD25" s="3" t="s">
        <v>130</v>
      </c>
      <c r="AE25" s="3"/>
      <c r="AF25" s="3" t="s">
        <v>131</v>
      </c>
      <c r="AG25" s="3" t="s">
        <v>126</v>
      </c>
      <c r="AH25" s="3" t="s">
        <v>127</v>
      </c>
      <c r="AI25" s="3" t="s">
        <v>129</v>
      </c>
      <c r="AJ25" s="3" t="s">
        <v>130</v>
      </c>
      <c r="AK25" s="3"/>
      <c r="AL25" s="3" t="s">
        <v>131</v>
      </c>
      <c r="AM25" s="3" t="s">
        <v>126</v>
      </c>
      <c r="AN25" s="3" t="s">
        <v>127</v>
      </c>
      <c r="AO25" s="3" t="s">
        <v>129</v>
      </c>
      <c r="AP25" s="3" t="s">
        <v>130</v>
      </c>
      <c r="AQ25" s="3"/>
      <c r="AR25" s="3" t="s">
        <v>131</v>
      </c>
      <c r="AS25" s="3" t="s">
        <v>126</v>
      </c>
      <c r="AT25" s="3" t="s">
        <v>127</v>
      </c>
      <c r="AU25" s="3" t="s">
        <v>129</v>
      </c>
      <c r="AV25" s="3" t="s">
        <v>130</v>
      </c>
      <c r="AW25" s="3"/>
      <c r="AX25" s="3" t="s">
        <v>131</v>
      </c>
      <c r="AY25" s="3" t="s">
        <v>126</v>
      </c>
      <c r="AZ25" s="3" t="s">
        <v>127</v>
      </c>
      <c r="BA25" s="3" t="s">
        <v>129</v>
      </c>
      <c r="BB25" s="3" t="s">
        <v>130</v>
      </c>
      <c r="BC25" s="3"/>
      <c r="BD25" s="3" t="s">
        <v>131</v>
      </c>
      <c r="BE25" s="3" t="s">
        <v>126</v>
      </c>
      <c r="BF25" s="3" t="s">
        <v>127</v>
      </c>
      <c r="BG25" s="3" t="s">
        <v>129</v>
      </c>
      <c r="BH25" s="3" t="s">
        <v>130</v>
      </c>
      <c r="BI25" s="3"/>
      <c r="BJ25" s="3" t="s">
        <v>131</v>
      </c>
      <c r="BK25" s="3" t="s">
        <v>126</v>
      </c>
      <c r="BL25" s="3" t="s">
        <v>127</v>
      </c>
      <c r="BM25" s="3" t="s">
        <v>129</v>
      </c>
      <c r="BN25" s="3" t="s">
        <v>130</v>
      </c>
      <c r="BO25" s="3"/>
      <c r="BP25" s="3" t="s">
        <v>131</v>
      </c>
      <c r="BQ25" s="3" t="s">
        <v>126</v>
      </c>
      <c r="BR25" s="3" t="s">
        <v>127</v>
      </c>
      <c r="BS25" s="3" t="s">
        <v>129</v>
      </c>
      <c r="BT25" s="3" t="s">
        <v>130</v>
      </c>
      <c r="BU25" s="3"/>
    </row>
    <row r="26" ht="14.25">
      <c r="B26" t="s">
        <v>132</v>
      </c>
      <c r="C26" s="2">
        <f>G23</f>
        <v>0.03258494183758439</v>
      </c>
      <c r="D26" s="2">
        <f>G24</f>
        <v>0.029546030170099387</v>
      </c>
      <c r="E26">
        <f>AVERAGE(D2:D11)</f>
        <v>0.1524404</v>
      </c>
      <c r="F26" s="3">
        <f>AVERAGE(F2:F11)</f>
        <v>0.018309699999999998</v>
      </c>
      <c r="M26" s="3"/>
      <c r="S26" s="3"/>
      <c r="Y26" s="3"/>
      <c r="AE26" s="3"/>
    </row>
    <row r="27" ht="14.25">
      <c r="B27" s="1" t="s">
        <v>133</v>
      </c>
      <c r="C27" s="2">
        <f>M23</f>
        <v>0.046011161108030142</v>
      </c>
      <c r="D27" s="2">
        <f>M24</f>
        <v>0.043609755200720704</v>
      </c>
      <c r="E27">
        <f>AVERAGE(J2:J11)</f>
        <v>0.16157099999999999</v>
      </c>
      <c r="F27" s="3">
        <f>AVERAGE(L2:L11)</f>
        <v>0.0205329</v>
      </c>
    </row>
    <row r="28" ht="14.25">
      <c r="B28" s="1" t="s">
        <v>134</v>
      </c>
      <c r="C28" s="2">
        <f>S23</f>
        <v>0.037308907522669903</v>
      </c>
      <c r="D28" s="2">
        <f>S24</f>
        <v>0.038129282331448792</v>
      </c>
      <c r="E28">
        <f>AVERAGE(P2:P11)</f>
        <v>0.18597930000000001</v>
      </c>
      <c r="F28" s="3">
        <f>AVERAGE(R2:R11)</f>
        <v>0.02776</v>
      </c>
    </row>
    <row r="29" ht="14.25">
      <c r="B29" s="1" t="s">
        <v>135</v>
      </c>
      <c r="C29" s="2">
        <f>Y23</f>
        <v>0.0071222448406438339</v>
      </c>
      <c r="D29" s="2">
        <f>Y24</f>
        <v>0.0073361296292325266</v>
      </c>
      <c r="E29">
        <f>AVERAGE(V2:V11)</f>
        <v>2.433341</v>
      </c>
      <c r="F29" s="3">
        <f>AVERAGE(X2:X11)</f>
        <v>0.096238000000000004</v>
      </c>
    </row>
    <row r="30" ht="14.25">
      <c r="B30" s="1" t="s">
        <v>136</v>
      </c>
      <c r="C30" s="2">
        <f>AE23</f>
        <v>0.041390065688900267</v>
      </c>
      <c r="D30" s="2">
        <f>AE24</f>
        <v>0.042139610308514625</v>
      </c>
      <c r="E30">
        <f>AVERAGE(AB2:AB11)</f>
        <v>2.4789479999999999</v>
      </c>
      <c r="F30" s="3">
        <f>AVERAGE(AD2:AD11)</f>
        <v>0.10989879999999999</v>
      </c>
    </row>
    <row r="31" ht="14.25">
      <c r="B31" s="1" t="s">
        <v>137</v>
      </c>
      <c r="C31" s="2">
        <f>AK23</f>
        <v>0.056763081145297753</v>
      </c>
      <c r="D31" s="2">
        <f>AK24</f>
        <v>0.053109954789582289</v>
      </c>
      <c r="E31">
        <f>AVERAGE(AH2:AH11)</f>
        <v>2.7979140000000005</v>
      </c>
      <c r="F31" s="3">
        <f>AVERAGE(AJ2:AJ11)</f>
        <v>0.1530811</v>
      </c>
      <c r="G31" s="3"/>
    </row>
    <row r="32" ht="14.25">
      <c r="B32" s="1" t="s">
        <v>138</v>
      </c>
      <c r="C32" s="2">
        <f>AQ23</f>
        <v>0.0049446510725217434</v>
      </c>
      <c r="D32" s="2">
        <f>AQ24</f>
        <v>0.0038904579854880236</v>
      </c>
      <c r="E32">
        <f>AVERAGE(AN2:AN11)</f>
        <v>18.94913</v>
      </c>
      <c r="F32" s="3">
        <f>AVERAGE(AP2:AP11)</f>
        <v>0.31968460000000004</v>
      </c>
      <c r="G32" s="3"/>
      <c r="M32" s="3"/>
    </row>
    <row r="33" ht="14.25">
      <c r="B33" s="1" t="s">
        <v>139</v>
      </c>
      <c r="C33" s="2">
        <f>AW23</f>
        <v>0.019553691550139956</v>
      </c>
      <c r="D33" s="2">
        <f>AW24</f>
        <v>0.018649975454099167</v>
      </c>
      <c r="E33">
        <f>AVERAGE(AT2:AT11)</f>
        <v>19.64912</v>
      </c>
      <c r="F33" s="3">
        <f>AVERAGE(AV2:AV11)</f>
        <v>0.43963989999999997</v>
      </c>
    </row>
    <row r="34" ht="14.25">
      <c r="B34" s="1" t="s">
        <v>140</v>
      </c>
      <c r="C34" s="2">
        <f>BC23</f>
        <v>0.035858156270701623</v>
      </c>
      <c r="D34" s="2">
        <f>BC24</f>
        <v>0.035119175412960585</v>
      </c>
      <c r="E34">
        <f>AVERAGE(AZ2:AZ11)</f>
        <v>21.396460000000005</v>
      </c>
      <c r="F34" s="3">
        <f>AVERAGE(BB2:BB11)</f>
        <v>0.55180380000000007</v>
      </c>
      <c r="G34" s="3"/>
    </row>
    <row r="35" ht="14.25">
      <c r="B35" s="1" t="s">
        <v>141</v>
      </c>
      <c r="C35" s="2">
        <f>BI23</f>
        <v>0.010402117786637452</v>
      </c>
      <c r="D35" s="2">
        <f>BI24</f>
        <v>0.010041173995933184</v>
      </c>
      <c r="E35">
        <f>AVERAGE(BF2:BF11)</f>
        <v>160.51550000000003</v>
      </c>
      <c r="F35" s="3">
        <f>AVERAGE(BH2:BH11)</f>
        <v>1.5576939999999999</v>
      </c>
      <c r="G35" s="3"/>
      <c r="M35" s="3"/>
      <c r="S35" s="3"/>
    </row>
    <row r="36" ht="14.25">
      <c r="B36" s="1" t="s">
        <v>142</v>
      </c>
      <c r="C36" s="2">
        <f>BO23</f>
        <v>0.024906038999314099</v>
      </c>
      <c r="D36" s="2">
        <f>BO24</f>
        <v>0.024352338022587676</v>
      </c>
      <c r="E36">
        <f>AVERAGE(BL2:BL11)</f>
        <v>176.7621</v>
      </c>
      <c r="F36" s="3">
        <f>AVERAGE(BN2:BN11)</f>
        <v>2.152482</v>
      </c>
    </row>
    <row r="37" ht="14.25">
      <c r="B37" s="1" t="s">
        <v>143</v>
      </c>
      <c r="C37" s="2">
        <f>BU23</f>
        <v>0.012218192332635821</v>
      </c>
      <c r="D37" s="2">
        <f>BU24</f>
        <v>0.012759859358215679</v>
      </c>
      <c r="E37">
        <f>AVERAGE(BR2:BR11)</f>
        <v>3007.71</v>
      </c>
      <c r="F37" s="3">
        <f>AVERAGE(BT2:BT11)</f>
        <v>13.576200000000004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2026-06-21T14:07:40Z</dcterms:modified>
</cp:coreProperties>
</file>